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📥 Income Log" sheetId="2" state="visible" r:id="rId4"/>
    <sheet name="💸 Expense Log" sheetId="3" state="visible" r:id="rId5"/>
    <sheet name="🪣 Tax Tracker" sheetId="4" state="visible" r:id="rId6"/>
    <sheet name="💰 Owner Draw" sheetId="5" state="visible" r:id="rId7"/>
    <sheet name="🏦 Reserve Fund" sheetId="6" state="visible" r:id="rId8"/>
    <sheet name="📈 Monthly P&amp;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<sst xmlns="http://schemas.openxmlformats.org/spreadsheetml/2006/main" count="178" uniqueCount="146">
  <si>
    <t xml:space="preserve">THE BRADLEY PROJECT LLC — Business Finance Tracker</t>
  </si>
  <si>
    <t xml:space="preserve">⚡ Blue cells = you type here  |  Black cells = auto-calculated  |  Green cells = pulled from other sheets</t>
  </si>
  <si>
    <t xml:space="preserve">  SETTINGS — Change these to update the whole dashboard</t>
  </si>
  <si>
    <t xml:space="preserve">Current Year:</t>
  </si>
  <si>
    <t xml:space="preserve">Current Month (1-12):</t>
  </si>
  <si>
    <t xml:space="preserve">Tax Rate:</t>
  </si>
  <si>
    <t xml:space="preserve">Reinvest Rate:</t>
  </si>
  <si>
    <t xml:space="preserve">  THIS MONTH — Your numbers at a glance</t>
  </si>
  <si>
    <t xml:space="preserve">GROSS REVENUE</t>
  </si>
  <si>
    <t xml:space="preserve">TAXES OWED</t>
  </si>
  <si>
    <t xml:space="preserve">OPERATING COSTS</t>
  </si>
  <si>
    <t xml:space="preserve">REINVESTMENT</t>
  </si>
  <si>
    <t xml:space="preserve">YOUR PAY</t>
  </si>
  <si>
    <t xml:space="preserve">TAX SAVED</t>
  </si>
  <si>
    <t xml:space="preserve">RESERVE FUND</t>
  </si>
  <si>
    <t xml:space="preserve">NET PROFIT MARGIN</t>
  </si>
  <si>
    <t xml:space="preserve">  YEAR TO DATE — Total since January 1</t>
  </si>
  <si>
    <t xml:space="preserve">YTD Revenue</t>
  </si>
  <si>
    <t xml:space="preserve">YTD Taxes Owed</t>
  </si>
  <si>
    <t xml:space="preserve">YTD Expenses</t>
  </si>
  <si>
    <t xml:space="preserve">YTD Reinvested</t>
  </si>
  <si>
    <t xml:space="preserve">YTD Take-Home</t>
  </si>
  <si>
    <t xml:space="preserve">YTD Tax Saved</t>
  </si>
  <si>
    <t xml:space="preserve">Reserve Balance</t>
  </si>
  <si>
    <t xml:space="preserve">YTD Profit Margin</t>
  </si>
  <si>
    <t xml:space="preserve">  QUARTERLY TAX CALENDAR — Save 30% every deposit, pay quarterly</t>
  </si>
  <si>
    <t xml:space="preserve">Quarter</t>
  </si>
  <si>
    <t xml:space="preserve">Period</t>
  </si>
  <si>
    <t xml:space="preserve">Due Date</t>
  </si>
  <si>
    <t xml:space="preserve">Estimated Owed</t>
  </si>
  <si>
    <t xml:space="preserve">Paid?</t>
  </si>
  <si>
    <t xml:space="preserve">Amount Paid</t>
  </si>
  <si>
    <t xml:space="preserve">Balance Due</t>
  </si>
  <si>
    <t xml:space="preserve">Status</t>
  </si>
  <si>
    <t xml:space="preserve">Q1</t>
  </si>
  <si>
    <t xml:space="preserve">Jan – Mar</t>
  </si>
  <si>
    <t xml:space="preserve">April 15</t>
  </si>
  <si>
    <t xml:space="preserve">No</t>
  </si>
  <si>
    <t xml:space="preserve">Q2</t>
  </si>
  <si>
    <t xml:space="preserve">Apr – May</t>
  </si>
  <si>
    <t xml:space="preserve">June 15</t>
  </si>
  <si>
    <t xml:space="preserve">Q3</t>
  </si>
  <si>
    <t xml:space="preserve">Jun – Aug</t>
  </si>
  <si>
    <t xml:space="preserve">September 15</t>
  </si>
  <si>
    <t xml:space="preserve">Q4</t>
  </si>
  <si>
    <t xml:space="preserve">Sep – Dec</t>
  </si>
  <si>
    <t xml:space="preserve">January 15</t>
  </si>
  <si>
    <t xml:space="preserve">  HOW TO USE THIS TRACKER</t>
  </si>
  <si>
    <t xml:space="preserve">1. Log every payment you receive in '📥 Income Log' — date, source, amount.</t>
  </si>
  <si>
    <t xml:space="preserve">2. Log every business expense in '💸 Expense Log' — date, category, vendor, amount.</t>
  </si>
  <si>
    <t xml:space="preserve">3. Every time money comes in, move 30% to your tax savings account immediately.</t>
  </si>
  <si>
    <t xml:space="preserve">4. Log that transfer in '🪣 Tax Tracker' so the dashboard stays accurate.</t>
  </si>
  <si>
    <t xml:space="preserve">5. When you pay yourself, log it in '💰 Owner Draw'.</t>
  </si>
  <si>
    <t xml:space="preserve">6. Check this dashboard once a week. 15 minutes. Make one decision.</t>
  </si>
  <si>
    <t xml:space="preserve">7. Do NOT touch the Tax Tracker bucket. That money belongs to the IRS.</t>
  </si>
  <si>
    <t xml:space="preserve">📥 INCOME LOG — Log every dollar that comes into the business</t>
  </si>
  <si>
    <t xml:space="preserve">Blue cells = you type here  |  One row per payment received</t>
  </si>
  <si>
    <t xml:space="preserve">DATE</t>
  </si>
  <si>
    <t xml:space="preserve">SOURCE</t>
  </si>
  <si>
    <t xml:space="preserve">DESCRIPTION</t>
  </si>
  <si>
    <t xml:space="preserve">AMOUNT ($)</t>
  </si>
  <si>
    <t xml:space="preserve">PAYMENT METHOD</t>
  </si>
  <si>
    <t xml:space="preserve">MONTH</t>
  </si>
  <si>
    <t xml:space="preserve">NOTES</t>
  </si>
  <si>
    <t xml:space="preserve">Ticket Fees</t>
  </si>
  <si>
    <t xml:space="preserve">Pride Night @ Club XYZ — 45 tickets</t>
  </si>
  <si>
    <t xml:space="preserve">Stripe</t>
  </si>
  <si>
    <t xml:space="preserve">Marketplace Fees</t>
  </si>
  <si>
    <t xml:space="preserve">Costume commission — performer Jade</t>
  </si>
  <si>
    <t xml:space="preserve">Book Royalties</t>
  </si>
  <si>
    <t xml:space="preserve">Amazon KDP — May royalties</t>
  </si>
  <si>
    <t xml:space="preserve">Direct Deposit</t>
  </si>
  <si>
    <t xml:space="preserve">Drag Brunch @ Rose City — 22 tickets</t>
  </si>
  <si>
    <t xml:space="preserve">TOTAL INCOME</t>
  </si>
  <si>
    <t xml:space="preserve">💸 EXPENSE LOG — Log every dollar the business spends</t>
  </si>
  <si>
    <t xml:space="preserve">Keep receipts for everything — all business expenses are potentially tax deductible</t>
  </si>
  <si>
    <t xml:space="preserve">CATEGORY</t>
  </si>
  <si>
    <t xml:space="preserve">VENDOR</t>
  </si>
  <si>
    <t xml:space="preserve">TAX DEDUCTIBLE?</t>
  </si>
  <si>
    <t xml:space="preserve">RECEIPT?</t>
  </si>
  <si>
    <t xml:space="preserve">Hosting/Infrastructure</t>
  </si>
  <si>
    <t xml:space="preserve">Supabase</t>
  </si>
  <si>
    <t xml:space="preserve">Yes</t>
  </si>
  <si>
    <t xml:space="preserve">Free tier — upgrade when needed</t>
  </si>
  <si>
    <t xml:space="preserve">App Store Fees</t>
  </si>
  <si>
    <t xml:space="preserve">Apple Developer</t>
  </si>
  <si>
    <t xml:space="preserve">$99/yr annual fee</t>
  </si>
  <si>
    <t xml:space="preserve">Transaction Fees</t>
  </si>
  <si>
    <t xml:space="preserve">Auto</t>
  </si>
  <si>
    <t xml:space="preserve">2.9% + 30¢ on ticket sales</t>
  </si>
  <si>
    <t xml:space="preserve">Software/Tools</t>
  </si>
  <si>
    <t xml:space="preserve">Buffer</t>
  </si>
  <si>
    <t xml:space="preserve">Free tier social scheduling</t>
  </si>
  <si>
    <t xml:space="preserve">TOTAL EXPENSES</t>
  </si>
  <si>
    <t xml:space="preserve">🪣 TAX TRACKER — Log every time you move money to your tax savings account</t>
  </si>
  <si>
    <t xml:space="preserve">Rule: Every time income comes in → immediately move 30% to a separate savings account → log it here</t>
  </si>
  <si>
    <t xml:space="preserve">INCOME RECEIVED</t>
  </si>
  <si>
    <t xml:space="preserve">30% TRANSFERRED</t>
  </si>
  <si>
    <t xml:space="preserve">FROM ACCOUNT</t>
  </si>
  <si>
    <t xml:space="preserve">QUARTER</t>
  </si>
  <si>
    <t xml:space="preserve">Business Checking → Tax Savings</t>
  </si>
  <si>
    <t xml:space="preserve">TOTAL INCOME TRACKED</t>
  </si>
  <si>
    <t xml:space="preserve">💰 OWNER'S DRAW — Every time you pay yourself, log it here</t>
  </si>
  <si>
    <t xml:space="preserve">This is not a salary — it's an owner's draw. You transfer from business account to personal account.</t>
  </si>
  <si>
    <t xml:space="preserve">TO ACCOUNT</t>
  </si>
  <si>
    <t xml:space="preserve">The Bradley Project LLC Checking</t>
  </si>
  <si>
    <t xml:space="preserve">Personal Checking</t>
  </si>
  <si>
    <t xml:space="preserve">June 2026</t>
  </si>
  <si>
    <t xml:space="preserve">Bi-monthly draw</t>
  </si>
  <si>
    <t xml:space="preserve">TOTAL DRAWN YTD</t>
  </si>
  <si>
    <t xml:space="preserve">🏦 RESERVE FUND — 3 months of operating costs, sitting in the business account untouched</t>
  </si>
  <si>
    <t xml:space="preserve">Goal: 3 months of average expenses. Do NOT spend this. It is your emergency cushion.</t>
  </si>
  <si>
    <t xml:space="preserve">Average Monthly Expenses:</t>
  </si>
  <si>
    <t xml:space="preserve">STATUS:</t>
  </si>
  <si>
    <t xml:space="preserve">Reserve Target (3 months):</t>
  </si>
  <si>
    <t xml:space="preserve">Current Reserve Balance:</t>
  </si>
  <si>
    <t xml:space="preserve">Funded %:</t>
  </si>
  <si>
    <t xml:space="preserve">ACTION</t>
  </si>
  <si>
    <t xml:space="preserve">RUNNING BALANCE</t>
  </si>
  <si>
    <t xml:space="preserve">Initial deposit</t>
  </si>
  <si>
    <t xml:space="preserve">First contribution toward 3-month reserve goal</t>
  </si>
  <si>
    <t xml:space="preserve">📈 MONTHLY PROFIT &amp; LOSS — Auto-calculated from Income and Expense logs</t>
  </si>
  <si>
    <t xml:space="preserve">Line Item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</si>
  <si>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</si>
  <si>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</si>
  <si>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</si>
  <si>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</si>
  <si>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</si>
  <si>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</si>
  <si>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</si>
  <si>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</si>
  <si>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</si>
  <si>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</si>
  <si>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</si>
  <si>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</si>
  <si>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ANNUAL TOTAL</t>
  </si>
  <si>
    <t xml:space="preserve">INCOME</t>
  </si>
  <si>
    <t xml:space="preserve">Gross Revenue</t>
  </si>
  <si>
    <t xml:space="preserve">DEDUCTIONS</t>
  </si>
  <si>
    <t xml:space="preserve">Taxes (30%)</t>
  </si>
  <si>
    <t xml:space="preserve">Operating Expenses</t>
  </si>
  <si>
    <t xml:space="preserve">Reinvestment (15%)</t>
  </si>
  <si>
    <t xml:space="preserve">RESULTS</t>
  </si>
  <si>
    <t xml:space="preserve">Owner Take-Home</t>
  </si>
  <si>
    <t xml:space="preserve">Profit Margin %</t>
  </si>
  <si>
    <t xml:space="preserve">Cumulative YTD Revenue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</si>
</sst>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%;\(0.0%\);\-"/>
    <numFmt numFmtId="167" formatCode="\$#,##0.00;&quot;($&quot;#,##0.00\);\-"/>
    <numFmt numFmtId="168" formatCode="mm/dd/yyyy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color rgb="FF00C4B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008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3"/>
      <color rgb="FF008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i val="true"/>
      <sz val="9"/>
      <color rgb="FFF43F5E"/>
      <name val="Arial"/>
      <family val="0"/>
      <charset val="1"/>
    </font>
    <font>
      <b val="true"/>
      <i val="true"/>
      <sz val="9"/>
      <color rgb="FF16A34A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16A34A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0A0A0F"/>
        <bgColor rgb="FF13131A"/>
      </patternFill>
    </fill>
    <fill>
      <patternFill patternType="solid">
        <fgColor rgb="FFF3F4F6"/>
        <bgColor rgb="FFFEF2F2"/>
      </patternFill>
    </fill>
    <fill>
      <patternFill patternType="solid">
        <fgColor rgb="FF13131A"/>
        <bgColor rgb="FF0A0A0F"/>
      </patternFill>
    </fill>
    <fill>
      <patternFill patternType="solid">
        <fgColor rgb="FFDBEAFE"/>
        <bgColor rgb="FFF3F4F6"/>
      </patternFill>
    </fill>
    <fill>
      <patternFill patternType="solid">
        <fgColor rgb="FFF0FDF4"/>
        <bgColor rgb="FFF3F4F6"/>
      </patternFill>
    </fill>
    <fill>
      <patternFill patternType="solid">
        <fgColor rgb="FFFEF2F2"/>
        <bgColor rgb="FFF3F4F6"/>
      </patternFill>
    </fill>
    <fill>
      <patternFill patternType="solid">
        <fgColor rgb="FF00C4B4"/>
        <bgColor rgb="FF33CCCC"/>
      </patternFill>
    </fill>
    <fill>
      <patternFill patternType="solid">
        <fgColor rgb="FFFEF9C3"/>
        <bgColor rgb="FFFEF2F2"/>
      </patternFill>
    </fill>
    <fill>
      <patternFill patternType="solid">
        <fgColor rgb="FFFFFFFF"/>
        <bgColor rgb="FFF0FDF4"/>
      </patternFill>
    </fill>
    <fill>
      <patternFill patternType="solid">
        <fgColor rgb="FFF43F5E"/>
        <bgColor rgb="FF993366"/>
      </patternFill>
    </fill>
    <fill>
      <patternFill patternType="solid">
        <fgColor rgb="FFD97706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20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2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A0F"/>
      <rgbColor rgb="FF808000"/>
      <rgbColor rgb="FF800080"/>
      <rgbColor rgb="FF008080"/>
      <rgbColor rgb="FFC0C0C0"/>
      <rgbColor rgb="FF808080"/>
      <rgbColor rgb="FF9999FF"/>
      <rgbColor rgb="FFF43F5E"/>
      <rgbColor rgb="FFFEF9C3"/>
      <rgbColor rgb="FFDBEA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4B4"/>
      <rgbColor rgb="FFF0FDF4"/>
      <rgbColor rgb="FFF3F4F6"/>
      <rgbColor rgb="FFFE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97706"/>
      <rgbColor rgb="FF6B7280"/>
      <rgbColor rgb="FF969696"/>
      <rgbColor rgb="FF003366"/>
      <rgbColor rgb="FF16A34A"/>
      <rgbColor rgb="FF13131A"/>
      <rgbColor rgb="FF333300"/>
      <rgbColor rgb="FF993300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8"/>
    <col collapsed="false" customWidth="true" hidden="false" outlineLevel="0" max="8" min="8" style="0" width="20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9.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</row>
    <row r="5" customFormat="false" ht="15" hidden="false" customHeight="false" outlineLevel="0" collapsed="false">
      <c r="A5" s="4" t="s">
        <v>3</v>
      </c>
      <c r="B5" s="5" t="n">
        <v>2026</v>
      </c>
      <c r="C5" s="4" t="s">
        <v>4</v>
      </c>
      <c r="D5" s="6" t="n">
        <v>6</v>
      </c>
      <c r="E5" s="4" t="s">
        <v>5</v>
      </c>
      <c r="F5" s="7" t="n">
        <v>0.3</v>
      </c>
      <c r="G5" s="4" t="s">
        <v>6</v>
      </c>
      <c r="H5" s="7" t="n">
        <v>0.15</v>
      </c>
    </row>
    <row r="7" customFormat="false" ht="19.5" hidden="false" customHeight="true" outlineLevel="0" collapsed="false">
      <c r="A7" s="3" t="s">
        <v>7</v>
      </c>
      <c r="B7" s="3"/>
      <c r="C7" s="3"/>
      <c r="D7" s="3"/>
      <c r="E7" s="3"/>
      <c r="F7" s="3"/>
      <c r="G7" s="3"/>
      <c r="H7" s="3"/>
    </row>
    <row r="8" customFormat="false" ht="15" hidden="false" customHeight="false" outlineLevel="0" collapsed="false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</row>
    <row r="9" customFormat="false" ht="17.35" hidden="false" customHeight="false" outlineLevel="0" collapsed="false">
      <c r="A9" s="9" t="n">
        <f aca="false">IFERROR(SUMPRODUCT((MONTH('📥 Income Log'!A:A)=D5)*(YEAR('📥 Income Log'!A:A)=B5)*'📥 Income Log'!D:D),0)</f>
        <v>0</v>
      </c>
      <c r="B9" s="10" t="n">
        <f aca="false">A9*F5</f>
        <v>0</v>
      </c>
      <c r="C9" s="11" t="n">
        <f aca="false">IFERROR(SUMPRODUCT((MONTH('💸 Expense Log'!A:A)=D5)*(YEAR('💸 Expense Log'!A:A)=B5)*'💸 Expense Log'!D:D),0)</f>
        <v>0</v>
      </c>
      <c r="D9" s="12" t="n">
        <f aca="false">(A9-B9-C9)*H5</f>
        <v>0</v>
      </c>
      <c r="E9" s="13" t="n">
        <f aca="false">A9-B9-C9-D9</f>
        <v>0</v>
      </c>
      <c r="F9" s="14" t="n">
        <f aca="false">IFERROR(SUMPRODUCT((MONTH('🪣 Tax Tracker'!A:A)=D5)*(YEAR('🪣 Tax Tracker'!A:A)=B5)*'🪣 Tax Tracker'!C:C),0)</f>
        <v>0</v>
      </c>
      <c r="G9" s="9" t="n">
        <f aca="false">IFERROR(SUM('🏦 Reserve Fund'!C:C),0)</f>
        <v>200</v>
      </c>
      <c r="H9" s="15" t="n">
        <f aca="false">IFERROR(E9/A9,0)</f>
        <v>0</v>
      </c>
    </row>
    <row r="11" customFormat="false" ht="19.5" hidden="false" customHeight="true" outlineLevel="0" collapsed="false">
      <c r="A11" s="3" t="s">
        <v>16</v>
      </c>
      <c r="B11" s="3"/>
      <c r="C11" s="3"/>
      <c r="D11" s="3"/>
      <c r="E11" s="3"/>
      <c r="F11" s="3"/>
      <c r="G11" s="3"/>
      <c r="H11" s="3"/>
    </row>
    <row r="12" customFormat="false" ht="15" hidden="false" customHeight="false" outlineLevel="0" collapsed="false">
      <c r="A12" s="16" t="s">
        <v>17</v>
      </c>
      <c r="B12" s="16" t="s">
        <v>18</v>
      </c>
      <c r="C12" s="16" t="s">
        <v>19</v>
      </c>
      <c r="D12" s="16" t="s">
        <v>20</v>
      </c>
      <c r="E12" s="16" t="s">
        <v>21</v>
      </c>
      <c r="F12" s="16" t="s">
        <v>22</v>
      </c>
      <c r="G12" s="16" t="s">
        <v>23</v>
      </c>
      <c r="H12" s="16" t="s">
        <v>24</v>
      </c>
    </row>
    <row r="13" customFormat="false" ht="16.15" hidden="false" customHeight="false" outlineLevel="0" collapsed="false">
      <c r="A13" s="17" t="n">
        <f aca="false">IFERROR(SUMPRODUCT((YEAR('📥 Income Log'!A:A)=B5)*'📥 Income Log'!D:D),0)</f>
        <v>0</v>
      </c>
      <c r="B13" s="18" t="n">
        <f aca="false">A13*F5</f>
        <v>0</v>
      </c>
      <c r="C13" s="19" t="n">
        <f aca="false">IFERROR(SUMPRODUCT((YEAR('💸 Expense Log'!A:A)=B5)*'💸 Expense Log'!D:D),0)</f>
        <v>0</v>
      </c>
      <c r="D13" s="20" t="n">
        <f aca="false">(A13-B13-C13)*H5</f>
        <v>0</v>
      </c>
      <c r="E13" s="21" t="n">
        <f aca="false">A13-B13-C13-D13</f>
        <v>0</v>
      </c>
      <c r="F13" s="22" t="n">
        <f aca="false">IFERROR(SUM('🪣 Tax Tracker'!C:C),0)</f>
        <v>245.84</v>
      </c>
      <c r="G13" s="17" t="n">
        <f aca="false">G9</f>
        <v>200</v>
      </c>
      <c r="H13" s="23" t="n">
        <f aca="false">IFERROR(E13/A13,0)</f>
        <v>0</v>
      </c>
    </row>
    <row r="15" customFormat="false" ht="19.5" hidden="false" customHeight="true" outlineLevel="0" collapsed="false">
      <c r="A15" s="3" t="s">
        <v>25</v>
      </c>
      <c r="B15" s="3"/>
      <c r="C15" s="3"/>
      <c r="D15" s="3"/>
      <c r="E15" s="3"/>
      <c r="F15" s="3"/>
      <c r="G15" s="3"/>
      <c r="H15" s="3"/>
    </row>
    <row r="16" customFormat="false" ht="15" hidden="false" customHeight="false" outlineLevel="0" collapsed="false">
      <c r="A16" s="24" t="s">
        <v>26</v>
      </c>
      <c r="B16" s="24" t="s">
        <v>27</v>
      </c>
      <c r="C16" s="24" t="s">
        <v>28</v>
      </c>
      <c r="D16" s="24" t="s">
        <v>29</v>
      </c>
      <c r="E16" s="24" t="s">
        <v>30</v>
      </c>
      <c r="F16" s="24" t="s">
        <v>31</v>
      </c>
      <c r="G16" s="24" t="s">
        <v>32</v>
      </c>
      <c r="H16" s="24" t="s">
        <v>33</v>
      </c>
    </row>
    <row r="17" customFormat="false" ht="15" hidden="false" customHeight="false" outlineLevel="0" collapsed="false">
      <c r="A17" s="25" t="s">
        <v>34</v>
      </c>
      <c r="B17" s="26" t="s">
        <v>35</v>
      </c>
      <c r="C17" s="26" t="s">
        <v>36</v>
      </c>
      <c r="D17" s="27" t="n">
        <f aca="false">IFERROR(SUMPRODUCT((MONTH('📥 Income Log'!A:A)&gt;=1)*(MONTH('📥 Income Log'!A:A)&lt;=3)*(YEAR('📥 Income Log'!A:A)=B5)*'📥 Income Log'!D:D)*F5,0)</f>
        <v>0</v>
      </c>
      <c r="E17" s="28" t="s">
        <v>37</v>
      </c>
      <c r="F17" s="29" t="n">
        <v>0</v>
      </c>
      <c r="G17" s="27" t="n">
        <f aca="false">D17-F17</f>
        <v>0</v>
      </c>
      <c r="H17" s="26" t="str">
        <f aca="false">IF(E17="Yes","✅ PAID",IF(D17=0,"—","⚠️ DUE"))</f>
        <v>—</v>
      </c>
    </row>
    <row r="18" customFormat="false" ht="15" hidden="false" customHeight="false" outlineLevel="0" collapsed="false">
      <c r="A18" s="30" t="s">
        <v>38</v>
      </c>
      <c r="B18" s="31" t="s">
        <v>39</v>
      </c>
      <c r="C18" s="31" t="s">
        <v>40</v>
      </c>
      <c r="D18" s="32" t="n">
        <f aca="false">IFERROR(SUMPRODUCT((MONTH('📥 Income Log'!A:A)&gt;=4)*(MONTH('📥 Income Log'!A:A)&lt;=5)*(YEAR('📥 Income Log'!A:A)=B5)*'📥 Income Log'!D:D)*F5,0)</f>
        <v>0</v>
      </c>
      <c r="E18" s="28" t="s">
        <v>37</v>
      </c>
      <c r="F18" s="29" t="n">
        <v>0</v>
      </c>
      <c r="G18" s="32" t="n">
        <f aca="false">D18-F18</f>
        <v>0</v>
      </c>
      <c r="H18" s="31" t="str">
        <f aca="false">IF(E18="Yes","✅ PAID",IF(D18=0,"—","⚠️ DUE"))</f>
        <v>—</v>
      </c>
    </row>
    <row r="19" customFormat="false" ht="15" hidden="false" customHeight="false" outlineLevel="0" collapsed="false">
      <c r="A19" s="25" t="s">
        <v>41</v>
      </c>
      <c r="B19" s="26" t="s">
        <v>42</v>
      </c>
      <c r="C19" s="26" t="s">
        <v>43</v>
      </c>
      <c r="D19" s="27" t="n">
        <f aca="false">IFERROR(SUMPRODUCT((MONTH('📥 Income Log'!A:A)&gt;=6)*(MONTH('📥 Income Log'!A:A)&lt;=8)*(YEAR('📥 Income Log'!A:A)=B5)*'📥 Income Log'!D:D)*F5,0)</f>
        <v>0</v>
      </c>
      <c r="E19" s="28" t="s">
        <v>37</v>
      </c>
      <c r="F19" s="29" t="n">
        <v>0</v>
      </c>
      <c r="G19" s="27" t="n">
        <f aca="false">D19-F19</f>
        <v>0</v>
      </c>
      <c r="H19" s="26" t="str">
        <f aca="false">IF(E19="Yes","✅ PAID",IF(D19=0,"—","⚠️ DUE"))</f>
        <v>—</v>
      </c>
    </row>
    <row r="20" customFormat="false" ht="15" hidden="false" customHeight="false" outlineLevel="0" collapsed="false">
      <c r="A20" s="30" t="s">
        <v>44</v>
      </c>
      <c r="B20" s="31" t="s">
        <v>45</v>
      </c>
      <c r="C20" s="31" t="s">
        <v>46</v>
      </c>
      <c r="D20" s="32" t="n">
        <f aca="false">IFERROR(SUMPRODUCT((MONTH('📥 Income Log'!A:A)&gt;=9)*(MONTH('📥 Income Log'!A:A)&lt;=12)*(YEAR('📥 Income Log'!A:A)=B5)*'📥 Income Log'!D:D)*F5,0)</f>
        <v>0</v>
      </c>
      <c r="E20" s="28" t="s">
        <v>37</v>
      </c>
      <c r="F20" s="29" t="n">
        <v>0</v>
      </c>
      <c r="G20" s="32" t="n">
        <f aca="false">D20-F20</f>
        <v>0</v>
      </c>
      <c r="H20" s="31" t="str">
        <f aca="false">IF(E20="Yes","✅ PAID",IF(D20=0,"—","⚠️ DUE"))</f>
        <v>—</v>
      </c>
    </row>
    <row r="22" customFormat="false" ht="19.5" hidden="false" customHeight="true" outlineLevel="0" collapsed="false">
      <c r="A22" s="3" t="s">
        <v>47</v>
      </c>
      <c r="B22" s="3"/>
      <c r="C22" s="3"/>
      <c r="D22" s="3"/>
      <c r="E22" s="3"/>
      <c r="F22" s="3"/>
      <c r="G22" s="3"/>
      <c r="H22" s="3"/>
    </row>
    <row r="23" customFormat="false" ht="15" hidden="false" customHeight="false" outlineLevel="0" collapsed="false">
      <c r="A23" s="33" t="s">
        <v>48</v>
      </c>
      <c r="B23" s="33"/>
      <c r="C23" s="33"/>
      <c r="D23" s="33"/>
      <c r="E23" s="33"/>
      <c r="F23" s="33"/>
      <c r="G23" s="33"/>
      <c r="H23" s="33"/>
    </row>
    <row r="24" customFormat="false" ht="15" hidden="false" customHeight="false" outlineLevel="0" collapsed="false">
      <c r="A24" s="34" t="s">
        <v>49</v>
      </c>
      <c r="B24" s="34"/>
      <c r="C24" s="34"/>
      <c r="D24" s="34"/>
      <c r="E24" s="34"/>
      <c r="F24" s="34"/>
      <c r="G24" s="34"/>
      <c r="H24" s="34"/>
    </row>
    <row r="25" customFormat="false" ht="15" hidden="false" customHeight="false" outlineLevel="0" collapsed="false">
      <c r="A25" s="33" t="s">
        <v>50</v>
      </c>
      <c r="B25" s="33"/>
      <c r="C25" s="33"/>
      <c r="D25" s="33"/>
      <c r="E25" s="33"/>
      <c r="F25" s="33"/>
      <c r="G25" s="33"/>
      <c r="H25" s="33"/>
    </row>
    <row r="26" customFormat="false" ht="15" hidden="false" customHeight="false" outlineLevel="0" collapsed="false">
      <c r="A26" s="34" t="s">
        <v>51</v>
      </c>
      <c r="B26" s="34"/>
      <c r="C26" s="34"/>
      <c r="D26" s="34"/>
      <c r="E26" s="34"/>
      <c r="F26" s="34"/>
      <c r="G26" s="34"/>
      <c r="H26" s="34"/>
    </row>
    <row r="27" customFormat="false" ht="15" hidden="false" customHeight="false" outlineLevel="0" collapsed="false">
      <c r="A27" s="33" t="s">
        <v>52</v>
      </c>
      <c r="B27" s="33"/>
      <c r="C27" s="33"/>
      <c r="D27" s="33"/>
      <c r="E27" s="33"/>
      <c r="F27" s="33"/>
      <c r="G27" s="33"/>
      <c r="H27" s="33"/>
    </row>
    <row r="28" customFormat="false" ht="15" hidden="false" customHeight="false" outlineLevel="0" collapsed="false">
      <c r="A28" s="34" t="s">
        <v>53</v>
      </c>
      <c r="B28" s="34"/>
      <c r="C28" s="34"/>
      <c r="D28" s="34"/>
      <c r="E28" s="34"/>
      <c r="F28" s="34"/>
      <c r="G28" s="34"/>
      <c r="H28" s="34"/>
    </row>
    <row r="29" customFormat="false" ht="15" hidden="false" customHeight="false" outlineLevel="0" collapsed="false">
      <c r="A29" s="33" t="s">
        <v>54</v>
      </c>
      <c r="B29" s="33"/>
      <c r="C29" s="33"/>
      <c r="D29" s="33"/>
      <c r="E29" s="33"/>
      <c r="F29" s="33"/>
      <c r="G29" s="33"/>
      <c r="H29" s="33"/>
    </row>
  </sheetData>
  <mergeCells count="14">
    <mergeCell ref="A1:H1"/>
    <mergeCell ref="A2:H2"/>
    <mergeCell ref="A4:H4"/>
    <mergeCell ref="A7:H7"/>
    <mergeCell ref="A11:H11"/>
    <mergeCell ref="A15:H15"/>
    <mergeCell ref="A22:H22"/>
    <mergeCell ref="A23:H23"/>
    <mergeCell ref="A24:H24"/>
    <mergeCell ref="A25:H25"/>
    <mergeCell ref="A26:H26"/>
    <mergeCell ref="A27:H27"/>
    <mergeCell ref="A28:H28"/>
    <mergeCell ref="A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24"/>
  </cols>
  <sheetData>
    <row r="1" customFormat="false" ht="30" hidden="false" customHeight="true" outlineLevel="0" collapsed="false">
      <c r="A1" s="35" t="s">
        <v>55</v>
      </c>
      <c r="B1" s="35"/>
      <c r="C1" s="35"/>
      <c r="D1" s="35"/>
      <c r="E1" s="35"/>
      <c r="F1" s="35"/>
      <c r="G1" s="35"/>
    </row>
    <row r="2" customFormat="false" ht="15" hidden="false" customHeight="false" outlineLevel="0" collapsed="false">
      <c r="A2" s="36" t="s">
        <v>56</v>
      </c>
      <c r="B2" s="36"/>
      <c r="C2" s="36"/>
      <c r="D2" s="36"/>
      <c r="E2" s="36"/>
      <c r="F2" s="36"/>
      <c r="G2" s="36"/>
    </row>
    <row r="3" customFormat="false" ht="15" hidden="false" customHeight="false" outlineLevel="0" collapsed="false">
      <c r="A3" s="37" t="s">
        <v>57</v>
      </c>
      <c r="B3" s="37" t="s">
        <v>58</v>
      </c>
      <c r="C3" s="37" t="s">
        <v>59</v>
      </c>
      <c r="D3" s="37" t="s">
        <v>60</v>
      </c>
      <c r="E3" s="37" t="s">
        <v>61</v>
      </c>
      <c r="F3" s="37" t="s">
        <v>62</v>
      </c>
      <c r="G3" s="37" t="s">
        <v>63</v>
      </c>
    </row>
    <row r="4" customFormat="false" ht="15" hidden="false" customHeight="false" outlineLevel="0" collapsed="false">
      <c r="A4" s="38" t="n">
        <v>46174</v>
      </c>
      <c r="B4" s="39" t="s">
        <v>64</v>
      </c>
      <c r="C4" s="39" t="s">
        <v>65</v>
      </c>
      <c r="D4" s="40" t="n">
        <v>337.5</v>
      </c>
      <c r="E4" s="39" t="s">
        <v>66</v>
      </c>
      <c r="F4" s="41" t="str">
        <f aca="false">IFERROR(TEXT(A4,"MMM YYYY"),"")</f>
        <v>Jun 2026</v>
      </c>
      <c r="G4" s="39"/>
    </row>
    <row r="5" customFormat="false" ht="15" hidden="false" customHeight="false" outlineLevel="0" collapsed="false">
      <c r="A5" s="42" t="n">
        <v>46176</v>
      </c>
      <c r="B5" s="43" t="s">
        <v>67</v>
      </c>
      <c r="C5" s="43" t="s">
        <v>68</v>
      </c>
      <c r="D5" s="44" t="n">
        <v>24</v>
      </c>
      <c r="E5" s="43" t="s">
        <v>66</v>
      </c>
      <c r="F5" s="45" t="str">
        <f aca="false">IFERROR(TEXT(A5,"MMM YYYY"),"")</f>
        <v>Jun 2026</v>
      </c>
      <c r="G5" s="43"/>
    </row>
    <row r="6" customFormat="false" ht="15" hidden="false" customHeight="false" outlineLevel="0" collapsed="false">
      <c r="A6" s="38" t="n">
        <v>46181</v>
      </c>
      <c r="B6" s="39" t="s">
        <v>69</v>
      </c>
      <c r="C6" s="39" t="s">
        <v>70</v>
      </c>
      <c r="D6" s="40" t="n">
        <v>48.22</v>
      </c>
      <c r="E6" s="39" t="s">
        <v>71</v>
      </c>
      <c r="F6" s="41" t="str">
        <f aca="false">IFERROR(TEXT(A6,"MMM YYYY"),"")</f>
        <v>Jun 2026</v>
      </c>
      <c r="G6" s="39"/>
    </row>
    <row r="7" customFormat="false" ht="15" hidden="false" customHeight="false" outlineLevel="0" collapsed="false">
      <c r="A7" s="42" t="n">
        <v>46188</v>
      </c>
      <c r="B7" s="43" t="s">
        <v>64</v>
      </c>
      <c r="C7" s="43" t="s">
        <v>72</v>
      </c>
      <c r="D7" s="44" t="n">
        <v>165</v>
      </c>
      <c r="E7" s="43" t="s">
        <v>66</v>
      </c>
      <c r="F7" s="45" t="str">
        <f aca="false">IFERROR(TEXT(A7,"MMM YYYY"),"")</f>
        <v>Jun 2026</v>
      </c>
      <c r="G7" s="43"/>
    </row>
    <row r="8" customFormat="false" ht="15" hidden="false" customHeight="false" outlineLevel="0" collapsed="false">
      <c r="A8" s="46"/>
      <c r="B8" s="47"/>
      <c r="C8" s="47"/>
      <c r="D8" s="48"/>
      <c r="E8" s="47"/>
      <c r="F8" s="49" t="str">
        <f aca="false">IFERROR(TEXT(A8,"MMM YYYY"),"")</f>
        <v>Dec 1899</v>
      </c>
      <c r="G8" s="47"/>
    </row>
    <row r="9" customFormat="false" ht="15" hidden="false" customHeight="false" outlineLevel="0" collapsed="false">
      <c r="A9" s="50"/>
      <c r="B9" s="51"/>
      <c r="C9" s="51"/>
      <c r="D9" s="52"/>
      <c r="E9" s="51"/>
      <c r="F9" s="53" t="str">
        <f aca="false">IFERROR(TEXT(A9,"MMM YYYY"),"")</f>
        <v>Dec 1899</v>
      </c>
      <c r="G9" s="51"/>
    </row>
    <row r="10" customFormat="false" ht="15" hidden="false" customHeight="false" outlineLevel="0" collapsed="false">
      <c r="A10" s="46"/>
      <c r="B10" s="47"/>
      <c r="C10" s="47"/>
      <c r="D10" s="48"/>
      <c r="E10" s="47"/>
      <c r="F10" s="49" t="str">
        <f aca="false">IFERROR(TEXT(A10,"MMM YYYY"),"")</f>
        <v>Dec 1899</v>
      </c>
      <c r="G10" s="47"/>
    </row>
    <row r="11" customFormat="false" ht="15" hidden="false" customHeight="false" outlineLevel="0" collapsed="false">
      <c r="A11" s="50"/>
      <c r="B11" s="51"/>
      <c r="C11" s="51"/>
      <c r="D11" s="52"/>
      <c r="E11" s="51"/>
      <c r="F11" s="53" t="str">
        <f aca="false">IFERROR(TEXT(A11,"MMM YYYY"),"")</f>
        <v>Dec 1899</v>
      </c>
      <c r="G11" s="51"/>
    </row>
    <row r="12" customFormat="false" ht="15" hidden="false" customHeight="false" outlineLevel="0" collapsed="false">
      <c r="A12" s="46"/>
      <c r="B12" s="47"/>
      <c r="C12" s="47"/>
      <c r="D12" s="48"/>
      <c r="E12" s="47"/>
      <c r="F12" s="49" t="str">
        <f aca="false">IFERROR(TEXT(A12,"MMM YYYY"),"")</f>
        <v>Dec 1899</v>
      </c>
      <c r="G12" s="47"/>
    </row>
    <row r="13" customFormat="false" ht="15" hidden="false" customHeight="false" outlineLevel="0" collapsed="false">
      <c r="A13" s="50"/>
      <c r="B13" s="51"/>
      <c r="C13" s="51"/>
      <c r="D13" s="52"/>
      <c r="E13" s="51"/>
      <c r="F13" s="53" t="str">
        <f aca="false">IFERROR(TEXT(A13,"MMM YYYY"),"")</f>
        <v>Dec 1899</v>
      </c>
      <c r="G13" s="51"/>
    </row>
    <row r="14" customFormat="false" ht="15" hidden="false" customHeight="false" outlineLevel="0" collapsed="false">
      <c r="A14" s="46"/>
      <c r="B14" s="47"/>
      <c r="C14" s="47"/>
      <c r="D14" s="48"/>
      <c r="E14" s="47"/>
      <c r="F14" s="49" t="str">
        <f aca="false">IFERROR(TEXT(A14,"MMM YYYY"),"")</f>
        <v>Dec 1899</v>
      </c>
      <c r="G14" s="47"/>
    </row>
    <row r="15" customFormat="false" ht="15" hidden="false" customHeight="false" outlineLevel="0" collapsed="false">
      <c r="A15" s="50"/>
      <c r="B15" s="51"/>
      <c r="C15" s="51"/>
      <c r="D15" s="52"/>
      <c r="E15" s="51"/>
      <c r="F15" s="53" t="str">
        <f aca="false">IFERROR(TEXT(A15,"MMM YYYY"),"")</f>
        <v>Dec 1899</v>
      </c>
      <c r="G15" s="51"/>
    </row>
    <row r="16" customFormat="false" ht="15" hidden="false" customHeight="false" outlineLevel="0" collapsed="false">
      <c r="A16" s="46"/>
      <c r="B16" s="47"/>
      <c r="C16" s="47"/>
      <c r="D16" s="48"/>
      <c r="E16" s="47"/>
      <c r="F16" s="49" t="str">
        <f aca="false">IFERROR(TEXT(A16,"MMM YYYY"),"")</f>
        <v>Dec 1899</v>
      </c>
      <c r="G16" s="47"/>
    </row>
    <row r="17" customFormat="false" ht="15" hidden="false" customHeight="false" outlineLevel="0" collapsed="false">
      <c r="A17" s="50"/>
      <c r="B17" s="51"/>
      <c r="C17" s="51"/>
      <c r="D17" s="52"/>
      <c r="E17" s="51"/>
      <c r="F17" s="53" t="str">
        <f aca="false">IFERROR(TEXT(A17,"MMM YYYY"),"")</f>
        <v>Dec 1899</v>
      </c>
      <c r="G17" s="51"/>
    </row>
    <row r="18" customFormat="false" ht="15" hidden="false" customHeight="false" outlineLevel="0" collapsed="false">
      <c r="A18" s="46"/>
      <c r="B18" s="47"/>
      <c r="C18" s="47"/>
      <c r="D18" s="48"/>
      <c r="E18" s="47"/>
      <c r="F18" s="49" t="str">
        <f aca="false">IFERROR(TEXT(A18,"MMM YYYY"),"")</f>
        <v>Dec 1899</v>
      </c>
      <c r="G18" s="47"/>
    </row>
    <row r="19" customFormat="false" ht="15" hidden="false" customHeight="false" outlineLevel="0" collapsed="false">
      <c r="A19" s="50"/>
      <c r="B19" s="51"/>
      <c r="C19" s="51"/>
      <c r="D19" s="52"/>
      <c r="E19" s="51"/>
      <c r="F19" s="53" t="str">
        <f aca="false">IFERROR(TEXT(A19,"MMM YYYY"),"")</f>
        <v>Dec 1899</v>
      </c>
      <c r="G19" s="51"/>
    </row>
    <row r="20" customFormat="false" ht="15" hidden="false" customHeight="false" outlineLevel="0" collapsed="false">
      <c r="A20" s="46"/>
      <c r="B20" s="47"/>
      <c r="C20" s="47"/>
      <c r="D20" s="48"/>
      <c r="E20" s="47"/>
      <c r="F20" s="49" t="str">
        <f aca="false">IFERROR(TEXT(A20,"MMM YYYY"),"")</f>
        <v>Dec 1899</v>
      </c>
      <c r="G20" s="47"/>
    </row>
    <row r="21" customFormat="false" ht="15" hidden="false" customHeight="false" outlineLevel="0" collapsed="false">
      <c r="A21" s="50"/>
      <c r="B21" s="51"/>
      <c r="C21" s="51"/>
      <c r="D21" s="52"/>
      <c r="E21" s="51"/>
      <c r="F21" s="53" t="str">
        <f aca="false">IFERROR(TEXT(A21,"MMM YYYY"),"")</f>
        <v>Dec 1899</v>
      </c>
      <c r="G21" s="51"/>
    </row>
    <row r="22" customFormat="false" ht="15" hidden="false" customHeight="false" outlineLevel="0" collapsed="false">
      <c r="A22" s="46"/>
      <c r="B22" s="47"/>
      <c r="C22" s="47"/>
      <c r="D22" s="48"/>
      <c r="E22" s="47"/>
      <c r="F22" s="49" t="str">
        <f aca="false">IFERROR(TEXT(A22,"MMM YYYY"),"")</f>
        <v>Dec 1899</v>
      </c>
      <c r="G22" s="47"/>
    </row>
    <row r="23" customFormat="false" ht="15" hidden="false" customHeight="false" outlineLevel="0" collapsed="false">
      <c r="A23" s="50"/>
      <c r="B23" s="51"/>
      <c r="C23" s="51"/>
      <c r="D23" s="52"/>
      <c r="E23" s="51"/>
      <c r="F23" s="53" t="str">
        <f aca="false">IFERROR(TEXT(A23,"MMM YYYY"),"")</f>
        <v>Dec 1899</v>
      </c>
      <c r="G23" s="51"/>
    </row>
    <row r="24" customFormat="false" ht="15" hidden="false" customHeight="false" outlineLevel="0" collapsed="false">
      <c r="A24" s="46"/>
      <c r="B24" s="47"/>
      <c r="C24" s="47"/>
      <c r="D24" s="48"/>
      <c r="E24" s="47"/>
      <c r="F24" s="49" t="str">
        <f aca="false">IFERROR(TEXT(A24,"MMM YYYY"),"")</f>
        <v>Dec 1899</v>
      </c>
      <c r="G24" s="47"/>
    </row>
    <row r="25" customFormat="false" ht="15" hidden="false" customHeight="false" outlineLevel="0" collapsed="false">
      <c r="A25" s="50"/>
      <c r="B25" s="51"/>
      <c r="C25" s="51"/>
      <c r="D25" s="52"/>
      <c r="E25" s="51"/>
      <c r="F25" s="53" t="str">
        <f aca="false">IFERROR(TEXT(A25,"MMM YYYY"),"")</f>
        <v>Dec 1899</v>
      </c>
      <c r="G25" s="51"/>
    </row>
    <row r="26" customFormat="false" ht="15" hidden="false" customHeight="false" outlineLevel="0" collapsed="false">
      <c r="A26" s="46"/>
      <c r="B26" s="47"/>
      <c r="C26" s="47"/>
      <c r="D26" s="48"/>
      <c r="E26" s="47"/>
      <c r="F26" s="49" t="str">
        <f aca="false">IFERROR(TEXT(A26,"MMM YYYY"),"")</f>
        <v>Dec 1899</v>
      </c>
      <c r="G26" s="47"/>
    </row>
    <row r="27" customFormat="false" ht="15" hidden="false" customHeight="false" outlineLevel="0" collapsed="false">
      <c r="A27" s="50"/>
      <c r="B27" s="51"/>
      <c r="C27" s="51"/>
      <c r="D27" s="52"/>
      <c r="E27" s="51"/>
      <c r="F27" s="53" t="str">
        <f aca="false">IFERROR(TEXT(A27,"MMM YYYY"),"")</f>
        <v>Dec 1899</v>
      </c>
      <c r="G27" s="51"/>
    </row>
    <row r="28" customFormat="false" ht="15" hidden="false" customHeight="false" outlineLevel="0" collapsed="false">
      <c r="A28" s="46"/>
      <c r="B28" s="47"/>
      <c r="C28" s="47"/>
      <c r="D28" s="48"/>
      <c r="E28" s="47"/>
      <c r="F28" s="49" t="str">
        <f aca="false">IFERROR(TEXT(A28,"MMM YYYY"),"")</f>
        <v>Dec 1899</v>
      </c>
      <c r="G28" s="47"/>
    </row>
    <row r="29" customFormat="false" ht="15" hidden="false" customHeight="false" outlineLevel="0" collapsed="false">
      <c r="A29" s="50"/>
      <c r="B29" s="51"/>
      <c r="C29" s="51"/>
      <c r="D29" s="52"/>
      <c r="E29" s="51"/>
      <c r="F29" s="53" t="str">
        <f aca="false">IFERROR(TEXT(A29,"MMM YYYY"),"")</f>
        <v>Dec 1899</v>
      </c>
      <c r="G29" s="51"/>
    </row>
    <row r="30" customFormat="false" ht="15" hidden="false" customHeight="false" outlineLevel="0" collapsed="false">
      <c r="A30" s="46"/>
      <c r="B30" s="47"/>
      <c r="C30" s="47"/>
      <c r="D30" s="48"/>
      <c r="E30" s="47"/>
      <c r="F30" s="49" t="str">
        <f aca="false">IFERROR(TEXT(A30,"MMM YYYY"),"")</f>
        <v>Dec 1899</v>
      </c>
      <c r="G30" s="47"/>
    </row>
    <row r="31" customFormat="false" ht="15" hidden="false" customHeight="false" outlineLevel="0" collapsed="false">
      <c r="A31" s="50"/>
      <c r="B31" s="51"/>
      <c r="C31" s="51"/>
      <c r="D31" s="52"/>
      <c r="E31" s="51"/>
      <c r="F31" s="53" t="str">
        <f aca="false">IFERROR(TEXT(A31,"MMM YYYY"),"")</f>
        <v>Dec 1899</v>
      </c>
      <c r="G31" s="51"/>
    </row>
    <row r="32" customFormat="false" ht="15" hidden="false" customHeight="false" outlineLevel="0" collapsed="false">
      <c r="A32" s="46"/>
      <c r="B32" s="47"/>
      <c r="C32" s="47"/>
      <c r="D32" s="48"/>
      <c r="E32" s="47"/>
      <c r="F32" s="49" t="str">
        <f aca="false">IFERROR(TEXT(A32,"MMM YYYY"),"")</f>
        <v>Dec 1899</v>
      </c>
      <c r="G32" s="47"/>
    </row>
    <row r="33" customFormat="false" ht="15" hidden="false" customHeight="false" outlineLevel="0" collapsed="false">
      <c r="A33" s="50"/>
      <c r="B33" s="51"/>
      <c r="C33" s="51"/>
      <c r="D33" s="52"/>
      <c r="E33" s="51"/>
      <c r="F33" s="53" t="str">
        <f aca="false">IFERROR(TEXT(A33,"MMM YYYY"),"")</f>
        <v>Dec 1899</v>
      </c>
      <c r="G33" s="51"/>
    </row>
    <row r="34" customFormat="false" ht="15" hidden="false" customHeight="false" outlineLevel="0" collapsed="false">
      <c r="A34" s="46"/>
      <c r="B34" s="47"/>
      <c r="C34" s="47"/>
      <c r="D34" s="48"/>
      <c r="E34" s="47"/>
      <c r="F34" s="49" t="str">
        <f aca="false">IFERROR(TEXT(A34,"MMM YYYY"),"")</f>
        <v>Dec 1899</v>
      </c>
      <c r="G34" s="47"/>
    </row>
    <row r="35" customFormat="false" ht="15" hidden="false" customHeight="false" outlineLevel="0" collapsed="false">
      <c r="A35" s="50"/>
      <c r="B35" s="51"/>
      <c r="C35" s="51"/>
      <c r="D35" s="52"/>
      <c r="E35" s="51"/>
      <c r="F35" s="53" t="str">
        <f aca="false">IFERROR(TEXT(A35,"MMM YYYY"),"")</f>
        <v>Dec 1899</v>
      </c>
      <c r="G35" s="51"/>
    </row>
    <row r="36" customFormat="false" ht="15" hidden="false" customHeight="false" outlineLevel="0" collapsed="false">
      <c r="A36" s="46"/>
      <c r="B36" s="47"/>
      <c r="C36" s="47"/>
      <c r="D36" s="48"/>
      <c r="E36" s="47"/>
      <c r="F36" s="49" t="str">
        <f aca="false">IFERROR(TEXT(A36,"MMM YYYY"),"")</f>
        <v>Dec 1899</v>
      </c>
      <c r="G36" s="47"/>
    </row>
    <row r="37" customFormat="false" ht="15" hidden="false" customHeight="false" outlineLevel="0" collapsed="false">
      <c r="A37" s="50"/>
      <c r="B37" s="51"/>
      <c r="C37" s="51"/>
      <c r="D37" s="52"/>
      <c r="E37" s="51"/>
      <c r="F37" s="53" t="str">
        <f aca="false">IFERROR(TEXT(A37,"MMM YYYY"),"")</f>
        <v>Dec 1899</v>
      </c>
      <c r="G37" s="51"/>
    </row>
    <row r="38" customFormat="false" ht="15" hidden="false" customHeight="false" outlineLevel="0" collapsed="false">
      <c r="A38" s="46"/>
      <c r="B38" s="47"/>
      <c r="C38" s="47"/>
      <c r="D38" s="48"/>
      <c r="E38" s="47"/>
      <c r="F38" s="49" t="str">
        <f aca="false">IFERROR(TEXT(A38,"MMM YYYY"),"")</f>
        <v>Dec 1899</v>
      </c>
      <c r="G38" s="47"/>
    </row>
    <row r="39" customFormat="false" ht="15" hidden="false" customHeight="false" outlineLevel="0" collapsed="false">
      <c r="A39" s="50"/>
      <c r="B39" s="51"/>
      <c r="C39" s="51"/>
      <c r="D39" s="52"/>
      <c r="E39" s="51"/>
      <c r="F39" s="53" t="str">
        <f aca="false">IFERROR(TEXT(A39,"MMM YYYY"),"")</f>
        <v>Dec 1899</v>
      </c>
      <c r="G39" s="51"/>
    </row>
    <row r="40" customFormat="false" ht="15" hidden="false" customHeight="false" outlineLevel="0" collapsed="false">
      <c r="A40" s="46"/>
      <c r="B40" s="47"/>
      <c r="C40" s="47"/>
      <c r="D40" s="48"/>
      <c r="E40" s="47"/>
      <c r="F40" s="49" t="str">
        <f aca="false">IFERROR(TEXT(A40,"MMM YYYY"),"")</f>
        <v>Dec 1899</v>
      </c>
      <c r="G40" s="47"/>
    </row>
    <row r="41" customFormat="false" ht="15" hidden="false" customHeight="false" outlineLevel="0" collapsed="false">
      <c r="A41" s="50"/>
      <c r="B41" s="51"/>
      <c r="C41" s="51"/>
      <c r="D41" s="52"/>
      <c r="E41" s="51"/>
      <c r="F41" s="53" t="str">
        <f aca="false">IFERROR(TEXT(A41,"MMM YYYY"),"")</f>
        <v>Dec 1899</v>
      </c>
      <c r="G41" s="51"/>
    </row>
    <row r="42" customFormat="false" ht="15" hidden="false" customHeight="false" outlineLevel="0" collapsed="false">
      <c r="A42" s="46"/>
      <c r="B42" s="47"/>
      <c r="C42" s="47"/>
      <c r="D42" s="48"/>
      <c r="E42" s="47"/>
      <c r="F42" s="49" t="str">
        <f aca="false">IFERROR(TEXT(A42,"MMM YYYY"),"")</f>
        <v>Dec 1899</v>
      </c>
      <c r="G42" s="47"/>
    </row>
    <row r="43" customFormat="false" ht="15" hidden="false" customHeight="false" outlineLevel="0" collapsed="false">
      <c r="A43" s="50"/>
      <c r="B43" s="51"/>
      <c r="C43" s="51"/>
      <c r="D43" s="52"/>
      <c r="E43" s="51"/>
      <c r="F43" s="53" t="str">
        <f aca="false">IFERROR(TEXT(A43,"MMM YYYY"),"")</f>
        <v>Dec 1899</v>
      </c>
      <c r="G43" s="51"/>
    </row>
    <row r="44" customFormat="false" ht="15" hidden="false" customHeight="false" outlineLevel="0" collapsed="false">
      <c r="A44" s="46"/>
      <c r="B44" s="47"/>
      <c r="C44" s="47"/>
      <c r="D44" s="48"/>
      <c r="E44" s="47"/>
      <c r="F44" s="49" t="str">
        <f aca="false">IFERROR(TEXT(A44,"MMM YYYY"),"")</f>
        <v>Dec 1899</v>
      </c>
      <c r="G44" s="47"/>
    </row>
    <row r="45" customFormat="false" ht="15" hidden="false" customHeight="false" outlineLevel="0" collapsed="false">
      <c r="A45" s="50"/>
      <c r="B45" s="51"/>
      <c r="C45" s="51"/>
      <c r="D45" s="52"/>
      <c r="E45" s="51"/>
      <c r="F45" s="53" t="str">
        <f aca="false">IFERROR(TEXT(A45,"MMM YYYY"),"")</f>
        <v>Dec 1899</v>
      </c>
      <c r="G45" s="51"/>
    </row>
    <row r="46" customFormat="false" ht="15" hidden="false" customHeight="false" outlineLevel="0" collapsed="false">
      <c r="A46" s="46"/>
      <c r="B46" s="47"/>
      <c r="C46" s="47"/>
      <c r="D46" s="48"/>
      <c r="E46" s="47"/>
      <c r="F46" s="49" t="str">
        <f aca="false">IFERROR(TEXT(A46,"MMM YYYY"),"")</f>
        <v>Dec 1899</v>
      </c>
      <c r="G46" s="47"/>
    </row>
    <row r="47" customFormat="false" ht="15" hidden="false" customHeight="false" outlineLevel="0" collapsed="false">
      <c r="A47" s="50"/>
      <c r="B47" s="51"/>
      <c r="C47" s="51"/>
      <c r="D47" s="52"/>
      <c r="E47" s="51"/>
      <c r="F47" s="53" t="str">
        <f aca="false">IFERROR(TEXT(A47,"MMM YYYY"),"")</f>
        <v>Dec 1899</v>
      </c>
      <c r="G47" s="51"/>
    </row>
    <row r="48" customFormat="false" ht="15" hidden="false" customHeight="false" outlineLevel="0" collapsed="false">
      <c r="A48" s="46"/>
      <c r="B48" s="47"/>
      <c r="C48" s="47"/>
      <c r="D48" s="48"/>
      <c r="E48" s="47"/>
      <c r="F48" s="49" t="str">
        <f aca="false">IFERROR(TEXT(A48,"MMM YYYY"),"")</f>
        <v>Dec 1899</v>
      </c>
      <c r="G48" s="47"/>
    </row>
    <row r="49" customFormat="false" ht="15" hidden="false" customHeight="false" outlineLevel="0" collapsed="false">
      <c r="A49" s="50"/>
      <c r="B49" s="51"/>
      <c r="C49" s="51"/>
      <c r="D49" s="52"/>
      <c r="E49" s="51"/>
      <c r="F49" s="53" t="str">
        <f aca="false">IFERROR(TEXT(A49,"MMM YYYY"),"")</f>
        <v>Dec 1899</v>
      </c>
      <c r="G49" s="51"/>
    </row>
    <row r="50" customFormat="false" ht="15" hidden="false" customHeight="false" outlineLevel="0" collapsed="false">
      <c r="A50" s="46"/>
      <c r="B50" s="47"/>
      <c r="C50" s="47"/>
      <c r="D50" s="48"/>
      <c r="E50" s="47"/>
      <c r="F50" s="49" t="str">
        <f aca="false">IFERROR(TEXT(A50,"MMM YYYY"),"")</f>
        <v>Dec 1899</v>
      </c>
      <c r="G50" s="47"/>
    </row>
    <row r="51" customFormat="false" ht="15" hidden="false" customHeight="false" outlineLevel="0" collapsed="false">
      <c r="A51" s="50"/>
      <c r="B51" s="51"/>
      <c r="C51" s="51"/>
      <c r="D51" s="52"/>
      <c r="E51" s="51"/>
      <c r="F51" s="53" t="str">
        <f aca="false">IFERROR(TEXT(A51,"MMM YYYY"),"")</f>
        <v>Dec 1899</v>
      </c>
      <c r="G51" s="51"/>
    </row>
    <row r="52" customFormat="false" ht="15" hidden="false" customHeight="false" outlineLevel="0" collapsed="false">
      <c r="A52" s="46"/>
      <c r="B52" s="47"/>
      <c r="C52" s="47"/>
      <c r="D52" s="48"/>
      <c r="E52" s="47"/>
      <c r="F52" s="49" t="str">
        <f aca="false">IFERROR(TEXT(A52,"MMM YYYY"),"")</f>
        <v>Dec 1899</v>
      </c>
      <c r="G52" s="47"/>
    </row>
    <row r="53" customFormat="false" ht="15" hidden="false" customHeight="false" outlineLevel="0" collapsed="false">
      <c r="A53" s="50"/>
      <c r="B53" s="51"/>
      <c r="C53" s="51"/>
      <c r="D53" s="52"/>
      <c r="E53" s="51"/>
      <c r="F53" s="53" t="str">
        <f aca="false">IFERROR(TEXT(A53,"MMM YYYY"),"")</f>
        <v>Dec 1899</v>
      </c>
      <c r="G53" s="51"/>
    </row>
    <row r="54" customFormat="false" ht="15" hidden="false" customHeight="false" outlineLevel="0" collapsed="false">
      <c r="A54" s="46"/>
      <c r="B54" s="47"/>
      <c r="C54" s="47"/>
      <c r="D54" s="48"/>
      <c r="E54" s="47"/>
      <c r="F54" s="49" t="str">
        <f aca="false">IFERROR(TEXT(A54,"MMM YYYY"),"")</f>
        <v>Dec 1899</v>
      </c>
      <c r="G54" s="47"/>
    </row>
    <row r="55" customFormat="false" ht="15" hidden="false" customHeight="false" outlineLevel="0" collapsed="false">
      <c r="A55" s="50"/>
      <c r="B55" s="51"/>
      <c r="C55" s="51"/>
      <c r="D55" s="52"/>
      <c r="E55" s="51"/>
      <c r="F55" s="53" t="str">
        <f aca="false">IFERROR(TEXT(A55,"MMM YYYY"),"")</f>
        <v>Dec 1899</v>
      </c>
      <c r="G55" s="51"/>
    </row>
    <row r="56" customFormat="false" ht="15" hidden="false" customHeight="false" outlineLevel="0" collapsed="false">
      <c r="A56" s="46"/>
      <c r="B56" s="47"/>
      <c r="C56" s="47"/>
      <c r="D56" s="48"/>
      <c r="E56" s="47"/>
      <c r="F56" s="49" t="str">
        <f aca="false">IFERROR(TEXT(A56,"MMM YYYY"),"")</f>
        <v>Dec 1899</v>
      </c>
      <c r="G56" s="47"/>
    </row>
    <row r="57" customFormat="false" ht="15" hidden="false" customHeight="false" outlineLevel="0" collapsed="false">
      <c r="A57" s="50"/>
      <c r="B57" s="51"/>
      <c r="C57" s="51"/>
      <c r="D57" s="52"/>
      <c r="E57" s="51"/>
      <c r="F57" s="53" t="str">
        <f aca="false">IFERROR(TEXT(A57,"MMM YYYY"),"")</f>
        <v>Dec 1899</v>
      </c>
      <c r="G57" s="51"/>
    </row>
    <row r="58" customFormat="false" ht="15" hidden="false" customHeight="false" outlineLevel="0" collapsed="false">
      <c r="A58" s="46"/>
      <c r="B58" s="47"/>
      <c r="C58" s="47"/>
      <c r="D58" s="48"/>
      <c r="E58" s="47"/>
      <c r="F58" s="49" t="str">
        <f aca="false">IFERROR(TEXT(A58,"MMM YYYY"),"")</f>
        <v>Dec 1899</v>
      </c>
      <c r="G58" s="47"/>
    </row>
    <row r="59" customFormat="false" ht="15" hidden="false" customHeight="false" outlineLevel="0" collapsed="false">
      <c r="A59" s="50"/>
      <c r="B59" s="51"/>
      <c r="C59" s="51"/>
      <c r="D59" s="52"/>
      <c r="E59" s="51"/>
      <c r="F59" s="53" t="str">
        <f aca="false">IFERROR(TEXT(A59,"MMM YYYY"),"")</f>
        <v>Dec 1899</v>
      </c>
      <c r="G59" s="51"/>
    </row>
    <row r="60" customFormat="false" ht="15" hidden="false" customHeight="false" outlineLevel="0" collapsed="false">
      <c r="A60" s="46"/>
      <c r="B60" s="47"/>
      <c r="C60" s="47"/>
      <c r="D60" s="48"/>
      <c r="E60" s="47"/>
      <c r="F60" s="49" t="str">
        <f aca="false">IFERROR(TEXT(A60,"MMM YYYY"),"")</f>
        <v>Dec 1899</v>
      </c>
      <c r="G60" s="47"/>
    </row>
    <row r="61" customFormat="false" ht="15" hidden="false" customHeight="false" outlineLevel="0" collapsed="false">
      <c r="A61" s="50"/>
      <c r="B61" s="51"/>
      <c r="C61" s="51"/>
      <c r="D61" s="52"/>
      <c r="E61" s="51"/>
      <c r="F61" s="53" t="str">
        <f aca="false">IFERROR(TEXT(A61,"MMM YYYY"),"")</f>
        <v>Dec 1899</v>
      </c>
      <c r="G61" s="51"/>
    </row>
    <row r="62" customFormat="false" ht="15" hidden="false" customHeight="false" outlineLevel="0" collapsed="false">
      <c r="A62" s="46"/>
      <c r="B62" s="47"/>
      <c r="C62" s="47"/>
      <c r="D62" s="48"/>
      <c r="E62" s="47"/>
      <c r="F62" s="49" t="str">
        <f aca="false">IFERROR(TEXT(A62,"MMM YYYY"),"")</f>
        <v>Dec 1899</v>
      </c>
      <c r="G62" s="47"/>
    </row>
    <row r="63" customFormat="false" ht="15" hidden="false" customHeight="false" outlineLevel="0" collapsed="false">
      <c r="A63" s="50"/>
      <c r="B63" s="51"/>
      <c r="C63" s="51"/>
      <c r="D63" s="52"/>
      <c r="E63" s="51"/>
      <c r="F63" s="53" t="str">
        <f aca="false">IFERROR(TEXT(A63,"MMM YYYY"),"")</f>
        <v>Dec 1899</v>
      </c>
      <c r="G63" s="51"/>
    </row>
    <row r="64" customFormat="false" ht="15" hidden="false" customHeight="false" outlineLevel="0" collapsed="false">
      <c r="A64" s="46"/>
      <c r="B64" s="47"/>
      <c r="C64" s="47"/>
      <c r="D64" s="48"/>
      <c r="E64" s="47"/>
      <c r="F64" s="49" t="str">
        <f aca="false">IFERROR(TEXT(A64,"MMM YYYY"),"")</f>
        <v>Dec 1899</v>
      </c>
      <c r="G64" s="47"/>
    </row>
    <row r="65" customFormat="false" ht="15" hidden="false" customHeight="false" outlineLevel="0" collapsed="false">
      <c r="A65" s="50"/>
      <c r="B65" s="51"/>
      <c r="C65" s="51"/>
      <c r="D65" s="52"/>
      <c r="E65" s="51"/>
      <c r="F65" s="53" t="str">
        <f aca="false">IFERROR(TEXT(A65,"MMM YYYY"),"")</f>
        <v>Dec 1899</v>
      </c>
      <c r="G65" s="51"/>
    </row>
    <row r="66" customFormat="false" ht="15" hidden="false" customHeight="false" outlineLevel="0" collapsed="false">
      <c r="A66" s="46"/>
      <c r="B66" s="47"/>
      <c r="C66" s="47"/>
      <c r="D66" s="48"/>
      <c r="E66" s="47"/>
      <c r="F66" s="49" t="str">
        <f aca="false">IFERROR(TEXT(A66,"MMM YYYY"),"")</f>
        <v>Dec 1899</v>
      </c>
      <c r="G66" s="47"/>
    </row>
    <row r="67" customFormat="false" ht="15" hidden="false" customHeight="false" outlineLevel="0" collapsed="false">
      <c r="A67" s="50"/>
      <c r="B67" s="51"/>
      <c r="C67" s="51"/>
      <c r="D67" s="52"/>
      <c r="E67" s="51"/>
      <c r="F67" s="53" t="str">
        <f aca="false">IFERROR(TEXT(A67,"MMM YYYY"),"")</f>
        <v>Dec 1899</v>
      </c>
      <c r="G67" s="51"/>
    </row>
    <row r="68" customFormat="false" ht="15" hidden="false" customHeight="false" outlineLevel="0" collapsed="false">
      <c r="A68" s="46"/>
      <c r="B68" s="47"/>
      <c r="C68" s="47"/>
      <c r="D68" s="48"/>
      <c r="E68" s="47"/>
      <c r="F68" s="49" t="str">
        <f aca="false">IFERROR(TEXT(A68,"MMM YYYY"),"")</f>
        <v>Dec 1899</v>
      </c>
      <c r="G68" s="47"/>
    </row>
    <row r="69" customFormat="false" ht="15" hidden="false" customHeight="false" outlineLevel="0" collapsed="false">
      <c r="A69" s="50"/>
      <c r="B69" s="51"/>
      <c r="C69" s="51"/>
      <c r="D69" s="52"/>
      <c r="E69" s="51"/>
      <c r="F69" s="53" t="str">
        <f aca="false">IFERROR(TEXT(A69,"MMM YYYY"),"")</f>
        <v>Dec 1899</v>
      </c>
      <c r="G69" s="51"/>
    </row>
    <row r="70" customFormat="false" ht="15" hidden="false" customHeight="false" outlineLevel="0" collapsed="false">
      <c r="A70" s="46"/>
      <c r="B70" s="47"/>
      <c r="C70" s="47"/>
      <c r="D70" s="48"/>
      <c r="E70" s="47"/>
      <c r="F70" s="49" t="str">
        <f aca="false">IFERROR(TEXT(A70,"MMM YYYY"),"")</f>
        <v>Dec 1899</v>
      </c>
      <c r="G70" s="47"/>
    </row>
    <row r="71" customFormat="false" ht="15" hidden="false" customHeight="false" outlineLevel="0" collapsed="false">
      <c r="A71" s="50"/>
      <c r="B71" s="51"/>
      <c r="C71" s="51"/>
      <c r="D71" s="52"/>
      <c r="E71" s="51"/>
      <c r="F71" s="53" t="str">
        <f aca="false">IFERROR(TEXT(A71,"MMM YYYY"),"")</f>
        <v>Dec 1899</v>
      </c>
      <c r="G71" s="51"/>
    </row>
    <row r="72" customFormat="false" ht="15" hidden="false" customHeight="false" outlineLevel="0" collapsed="false">
      <c r="A72" s="46"/>
      <c r="B72" s="47"/>
      <c r="C72" s="47"/>
      <c r="D72" s="48"/>
      <c r="E72" s="47"/>
      <c r="F72" s="49" t="str">
        <f aca="false">IFERROR(TEXT(A72,"MMM YYYY"),"")</f>
        <v>Dec 1899</v>
      </c>
      <c r="G72" s="47"/>
    </row>
    <row r="73" customFormat="false" ht="15" hidden="false" customHeight="false" outlineLevel="0" collapsed="false">
      <c r="A73" s="50"/>
      <c r="B73" s="51"/>
      <c r="C73" s="51"/>
      <c r="D73" s="52"/>
      <c r="E73" s="51"/>
      <c r="F73" s="53" t="str">
        <f aca="false">IFERROR(TEXT(A73,"MMM YYYY"),"")</f>
        <v>Dec 1899</v>
      </c>
      <c r="G73" s="51"/>
    </row>
    <row r="74" customFormat="false" ht="15" hidden="false" customHeight="false" outlineLevel="0" collapsed="false">
      <c r="A74" s="46"/>
      <c r="B74" s="47"/>
      <c r="C74" s="47"/>
      <c r="D74" s="48"/>
      <c r="E74" s="47"/>
      <c r="F74" s="49" t="str">
        <f aca="false">IFERROR(TEXT(A74,"MMM YYYY"),"")</f>
        <v>Dec 1899</v>
      </c>
      <c r="G74" s="47"/>
    </row>
    <row r="75" customFormat="false" ht="15" hidden="false" customHeight="false" outlineLevel="0" collapsed="false">
      <c r="A75" s="50"/>
      <c r="B75" s="51"/>
      <c r="C75" s="51"/>
      <c r="D75" s="52"/>
      <c r="E75" s="51"/>
      <c r="F75" s="53" t="str">
        <f aca="false">IFERROR(TEXT(A75,"MMM YYYY"),"")</f>
        <v>Dec 1899</v>
      </c>
      <c r="G75" s="51"/>
    </row>
    <row r="76" customFormat="false" ht="15" hidden="false" customHeight="false" outlineLevel="0" collapsed="false">
      <c r="A76" s="46"/>
      <c r="B76" s="47"/>
      <c r="C76" s="47"/>
      <c r="D76" s="48"/>
      <c r="E76" s="47"/>
      <c r="F76" s="49" t="str">
        <f aca="false">IFERROR(TEXT(A76,"MMM YYYY"),"")</f>
        <v>Dec 1899</v>
      </c>
      <c r="G76" s="47"/>
    </row>
    <row r="77" customFormat="false" ht="15" hidden="false" customHeight="false" outlineLevel="0" collapsed="false">
      <c r="A77" s="50"/>
      <c r="B77" s="51"/>
      <c r="C77" s="51"/>
      <c r="D77" s="52"/>
      <c r="E77" s="51"/>
      <c r="F77" s="53" t="str">
        <f aca="false">IFERROR(TEXT(A77,"MMM YYYY"),"")</f>
        <v>Dec 1899</v>
      </c>
      <c r="G77" s="51"/>
    </row>
    <row r="78" customFormat="false" ht="15" hidden="false" customHeight="false" outlineLevel="0" collapsed="false">
      <c r="A78" s="46"/>
      <c r="B78" s="47"/>
      <c r="C78" s="47"/>
      <c r="D78" s="48"/>
      <c r="E78" s="47"/>
      <c r="F78" s="49" t="str">
        <f aca="false">IFERROR(TEXT(A78,"MMM YYYY"),"")</f>
        <v>Dec 1899</v>
      </c>
      <c r="G78" s="47"/>
    </row>
    <row r="79" customFormat="false" ht="15" hidden="false" customHeight="false" outlineLevel="0" collapsed="false">
      <c r="A79" s="50"/>
      <c r="B79" s="51"/>
      <c r="C79" s="51"/>
      <c r="D79" s="52"/>
      <c r="E79" s="51"/>
      <c r="F79" s="53" t="str">
        <f aca="false">IFERROR(TEXT(A79,"MMM YYYY"),"")</f>
        <v>Dec 1899</v>
      </c>
      <c r="G79" s="51"/>
    </row>
    <row r="80" customFormat="false" ht="15" hidden="false" customHeight="false" outlineLevel="0" collapsed="false">
      <c r="A80" s="46"/>
      <c r="B80" s="47"/>
      <c r="C80" s="47"/>
      <c r="D80" s="48"/>
      <c r="E80" s="47"/>
      <c r="F80" s="49" t="str">
        <f aca="false">IFERROR(TEXT(A80,"MMM YYYY"),"")</f>
        <v>Dec 1899</v>
      </c>
      <c r="G80" s="47"/>
    </row>
    <row r="81" customFormat="false" ht="15" hidden="false" customHeight="false" outlineLevel="0" collapsed="false">
      <c r="A81" s="50"/>
      <c r="B81" s="51"/>
      <c r="C81" s="51"/>
      <c r="D81" s="52"/>
      <c r="E81" s="51"/>
      <c r="F81" s="53" t="str">
        <f aca="false">IFERROR(TEXT(A81,"MMM YYYY"),"")</f>
        <v>Dec 1899</v>
      </c>
      <c r="G81" s="51"/>
    </row>
    <row r="82" customFormat="false" ht="15" hidden="false" customHeight="false" outlineLevel="0" collapsed="false">
      <c r="A82" s="46"/>
      <c r="B82" s="47"/>
      <c r="C82" s="47"/>
      <c r="D82" s="48"/>
      <c r="E82" s="47"/>
      <c r="F82" s="49" t="str">
        <f aca="false">IFERROR(TEXT(A82,"MMM YYYY"),"")</f>
        <v>Dec 1899</v>
      </c>
      <c r="G82" s="47"/>
    </row>
    <row r="83" customFormat="false" ht="15" hidden="false" customHeight="false" outlineLevel="0" collapsed="false">
      <c r="A83" s="50"/>
      <c r="B83" s="51"/>
      <c r="C83" s="51"/>
      <c r="D83" s="52"/>
      <c r="E83" s="51"/>
      <c r="F83" s="53" t="str">
        <f aca="false">IFERROR(TEXT(A83,"MMM YYYY"),"")</f>
        <v>Dec 1899</v>
      </c>
      <c r="G83" s="51"/>
    </row>
    <row r="84" customFormat="false" ht="15" hidden="false" customHeight="false" outlineLevel="0" collapsed="false">
      <c r="A84" s="46"/>
      <c r="B84" s="47"/>
      <c r="C84" s="47"/>
      <c r="D84" s="48"/>
      <c r="E84" s="47"/>
      <c r="F84" s="49" t="str">
        <f aca="false">IFERROR(TEXT(A84,"MMM YYYY"),"")</f>
        <v>Dec 1899</v>
      </c>
      <c r="G84" s="47"/>
    </row>
    <row r="85" customFormat="false" ht="15" hidden="false" customHeight="false" outlineLevel="0" collapsed="false">
      <c r="A85" s="50"/>
      <c r="B85" s="51"/>
      <c r="C85" s="51"/>
      <c r="D85" s="52"/>
      <c r="E85" s="51"/>
      <c r="F85" s="53" t="str">
        <f aca="false">IFERROR(TEXT(A85,"MMM YYYY"),"")</f>
        <v>Dec 1899</v>
      </c>
      <c r="G85" s="51"/>
    </row>
    <row r="86" customFormat="false" ht="15" hidden="false" customHeight="false" outlineLevel="0" collapsed="false">
      <c r="A86" s="46"/>
      <c r="B86" s="47"/>
      <c r="C86" s="47"/>
      <c r="D86" s="48"/>
      <c r="E86" s="47"/>
      <c r="F86" s="49" t="str">
        <f aca="false">IFERROR(TEXT(A86,"MMM YYYY"),"")</f>
        <v>Dec 1899</v>
      </c>
      <c r="G86" s="47"/>
    </row>
    <row r="87" customFormat="false" ht="15" hidden="false" customHeight="false" outlineLevel="0" collapsed="false">
      <c r="A87" s="50"/>
      <c r="B87" s="51"/>
      <c r="C87" s="51"/>
      <c r="D87" s="52"/>
      <c r="E87" s="51"/>
      <c r="F87" s="53" t="str">
        <f aca="false">IFERROR(TEXT(A87,"MMM YYYY"),"")</f>
        <v>Dec 1899</v>
      </c>
      <c r="G87" s="51"/>
    </row>
    <row r="88" customFormat="false" ht="15" hidden="false" customHeight="false" outlineLevel="0" collapsed="false">
      <c r="A88" s="46"/>
      <c r="B88" s="47"/>
      <c r="C88" s="47"/>
      <c r="D88" s="48"/>
      <c r="E88" s="47"/>
      <c r="F88" s="49" t="str">
        <f aca="false">IFERROR(TEXT(A88,"MMM YYYY"),"")</f>
        <v>Dec 1899</v>
      </c>
      <c r="G88" s="47"/>
    </row>
    <row r="89" customFormat="false" ht="15" hidden="false" customHeight="false" outlineLevel="0" collapsed="false">
      <c r="A89" s="50"/>
      <c r="B89" s="51"/>
      <c r="C89" s="51"/>
      <c r="D89" s="52"/>
      <c r="E89" s="51"/>
      <c r="F89" s="53" t="str">
        <f aca="false">IFERROR(TEXT(A89,"MMM YYYY"),"")</f>
        <v>Dec 1899</v>
      </c>
      <c r="G89" s="51"/>
    </row>
    <row r="90" customFormat="false" ht="15" hidden="false" customHeight="false" outlineLevel="0" collapsed="false">
      <c r="A90" s="46"/>
      <c r="B90" s="47"/>
      <c r="C90" s="47"/>
      <c r="D90" s="48"/>
      <c r="E90" s="47"/>
      <c r="F90" s="49" t="str">
        <f aca="false">IFERROR(TEXT(A90,"MMM YYYY"),"")</f>
        <v>Dec 1899</v>
      </c>
      <c r="G90" s="47"/>
    </row>
    <row r="91" customFormat="false" ht="15" hidden="false" customHeight="false" outlineLevel="0" collapsed="false">
      <c r="A91" s="50"/>
      <c r="B91" s="51"/>
      <c r="C91" s="51"/>
      <c r="D91" s="52"/>
      <c r="E91" s="51"/>
      <c r="F91" s="53" t="str">
        <f aca="false">IFERROR(TEXT(A91,"MMM YYYY"),"")</f>
        <v>Dec 1899</v>
      </c>
      <c r="G91" s="51"/>
    </row>
    <row r="92" customFormat="false" ht="15" hidden="false" customHeight="false" outlineLevel="0" collapsed="false">
      <c r="A92" s="46"/>
      <c r="B92" s="47"/>
      <c r="C92" s="47"/>
      <c r="D92" s="48"/>
      <c r="E92" s="47"/>
      <c r="F92" s="49" t="str">
        <f aca="false">IFERROR(TEXT(A92,"MMM YYYY"),"")</f>
        <v>Dec 1899</v>
      </c>
      <c r="G92" s="47"/>
    </row>
    <row r="93" customFormat="false" ht="15" hidden="false" customHeight="false" outlineLevel="0" collapsed="false">
      <c r="A93" s="50"/>
      <c r="B93" s="51"/>
      <c r="C93" s="51"/>
      <c r="D93" s="52"/>
      <c r="E93" s="51"/>
      <c r="F93" s="53" t="str">
        <f aca="false">IFERROR(TEXT(A93,"MMM YYYY"),"")</f>
        <v>Dec 1899</v>
      </c>
      <c r="G93" s="51"/>
    </row>
    <row r="94" customFormat="false" ht="15" hidden="false" customHeight="false" outlineLevel="0" collapsed="false">
      <c r="A94" s="46"/>
      <c r="B94" s="47"/>
      <c r="C94" s="47"/>
      <c r="D94" s="48"/>
      <c r="E94" s="47"/>
      <c r="F94" s="49" t="str">
        <f aca="false">IFERROR(TEXT(A94,"MMM YYYY"),"")</f>
        <v>Dec 1899</v>
      </c>
      <c r="G94" s="47"/>
    </row>
    <row r="95" customFormat="false" ht="15" hidden="false" customHeight="false" outlineLevel="0" collapsed="false">
      <c r="A95" s="50"/>
      <c r="B95" s="51"/>
      <c r="C95" s="51"/>
      <c r="D95" s="52"/>
      <c r="E95" s="51"/>
      <c r="F95" s="53" t="str">
        <f aca="false">IFERROR(TEXT(A95,"MMM YYYY"),"")</f>
        <v>Dec 1899</v>
      </c>
      <c r="G95" s="51"/>
    </row>
    <row r="96" customFormat="false" ht="15" hidden="false" customHeight="false" outlineLevel="0" collapsed="false">
      <c r="A96" s="46"/>
      <c r="B96" s="47"/>
      <c r="C96" s="47"/>
      <c r="D96" s="48"/>
      <c r="E96" s="47"/>
      <c r="F96" s="49" t="str">
        <f aca="false">IFERROR(TEXT(A96,"MMM YYYY"),"")</f>
        <v>Dec 1899</v>
      </c>
      <c r="G96" s="47"/>
    </row>
    <row r="97" customFormat="false" ht="15" hidden="false" customHeight="false" outlineLevel="0" collapsed="false">
      <c r="A97" s="50"/>
      <c r="B97" s="51"/>
      <c r="C97" s="51"/>
      <c r="D97" s="52"/>
      <c r="E97" s="51"/>
      <c r="F97" s="53" t="str">
        <f aca="false">IFERROR(TEXT(A97,"MMM YYYY"),"")</f>
        <v>Dec 1899</v>
      </c>
      <c r="G97" s="51"/>
    </row>
    <row r="98" customFormat="false" ht="15" hidden="false" customHeight="false" outlineLevel="0" collapsed="false">
      <c r="A98" s="46"/>
      <c r="B98" s="47"/>
      <c r="C98" s="47"/>
      <c r="D98" s="48"/>
      <c r="E98" s="47"/>
      <c r="F98" s="49" t="str">
        <f aca="false">IFERROR(TEXT(A98,"MMM YYYY"),"")</f>
        <v>Dec 1899</v>
      </c>
      <c r="G98" s="47"/>
    </row>
    <row r="99" customFormat="false" ht="15" hidden="false" customHeight="false" outlineLevel="0" collapsed="false">
      <c r="A99" s="50"/>
      <c r="B99" s="51"/>
      <c r="C99" s="51"/>
      <c r="D99" s="52"/>
      <c r="E99" s="51"/>
      <c r="F99" s="53" t="str">
        <f aca="false">IFERROR(TEXT(A99,"MMM YYYY"),"")</f>
        <v>Dec 1899</v>
      </c>
      <c r="G99" s="51"/>
    </row>
    <row r="100" customFormat="false" ht="15" hidden="false" customHeight="false" outlineLevel="0" collapsed="false">
      <c r="A100" s="46"/>
      <c r="B100" s="47"/>
      <c r="C100" s="47"/>
      <c r="D100" s="48"/>
      <c r="E100" s="47"/>
      <c r="F100" s="49" t="str">
        <f aca="false">IFERROR(TEXT(A100,"MMM YYYY"),"")</f>
        <v>Dec 1899</v>
      </c>
      <c r="G100" s="47"/>
    </row>
    <row r="101" customFormat="false" ht="15" hidden="false" customHeight="false" outlineLevel="0" collapsed="false">
      <c r="A101" s="50"/>
      <c r="B101" s="51"/>
      <c r="C101" s="51"/>
      <c r="D101" s="52"/>
      <c r="E101" s="51"/>
      <c r="F101" s="53" t="str">
        <f aca="false">IFERROR(TEXT(A101,"MMM YYYY"),"")</f>
        <v>Dec 1899</v>
      </c>
      <c r="G101" s="51"/>
    </row>
    <row r="102" customFormat="false" ht="15" hidden="false" customHeight="false" outlineLevel="0" collapsed="false">
      <c r="A102" s="46"/>
      <c r="B102" s="47"/>
      <c r="C102" s="47"/>
      <c r="D102" s="48"/>
      <c r="E102" s="47"/>
      <c r="F102" s="49" t="str">
        <f aca="false">IFERROR(TEXT(A102,"MMM YYYY"),"")</f>
        <v>Dec 1899</v>
      </c>
      <c r="G102" s="47"/>
    </row>
    <row r="103" customFormat="false" ht="15" hidden="false" customHeight="false" outlineLevel="0" collapsed="false">
      <c r="A103" s="50"/>
      <c r="B103" s="51"/>
      <c r="C103" s="51"/>
      <c r="D103" s="52"/>
      <c r="E103" s="51"/>
      <c r="F103" s="53" t="str">
        <f aca="false">IFERROR(TEXT(A103,"MMM YYYY"),"")</f>
        <v>Dec 1899</v>
      </c>
      <c r="G103" s="51"/>
    </row>
    <row r="104" customFormat="false" ht="15" hidden="false" customHeight="false" outlineLevel="0" collapsed="false">
      <c r="A104" s="46"/>
      <c r="B104" s="47"/>
      <c r="C104" s="47"/>
      <c r="D104" s="48"/>
      <c r="E104" s="47"/>
      <c r="F104" s="49" t="str">
        <f aca="false">IFERROR(TEXT(A104,"MMM YYYY"),"")</f>
        <v>Dec 1899</v>
      </c>
      <c r="G104" s="47"/>
    </row>
    <row r="105" customFormat="false" ht="15" hidden="false" customHeight="false" outlineLevel="0" collapsed="false">
      <c r="A105" s="50"/>
      <c r="B105" s="51"/>
      <c r="C105" s="51"/>
      <c r="D105" s="52"/>
      <c r="E105" s="51"/>
      <c r="F105" s="53" t="str">
        <f aca="false">IFERROR(TEXT(A105,"MMM YYYY"),"")</f>
        <v>Dec 1899</v>
      </c>
      <c r="G105" s="51"/>
    </row>
    <row r="106" customFormat="false" ht="15" hidden="false" customHeight="false" outlineLevel="0" collapsed="false">
      <c r="A106" s="46"/>
      <c r="B106" s="47"/>
      <c r="C106" s="47"/>
      <c r="D106" s="48"/>
      <c r="E106" s="47"/>
      <c r="F106" s="49" t="str">
        <f aca="false">IFERROR(TEXT(A106,"MMM YYYY"),"")</f>
        <v>Dec 1899</v>
      </c>
      <c r="G106" s="47"/>
    </row>
    <row r="107" customFormat="false" ht="15" hidden="false" customHeight="false" outlineLevel="0" collapsed="false">
      <c r="A107" s="50"/>
      <c r="B107" s="51"/>
      <c r="C107" s="51"/>
      <c r="D107" s="52"/>
      <c r="E107" s="51"/>
      <c r="F107" s="53" t="str">
        <f aca="false">IFERROR(TEXT(A107,"MMM YYYY"),"")</f>
        <v>Dec 1899</v>
      </c>
      <c r="G107" s="51"/>
    </row>
    <row r="109" customFormat="false" ht="15" hidden="false" customHeight="false" outlineLevel="0" collapsed="false">
      <c r="C109" s="54" t="s">
        <v>73</v>
      </c>
      <c r="D109" s="55" t="n">
        <f aca="false">SUM(D4:D108)</f>
        <v>574.72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8"/>
  </cols>
  <sheetData>
    <row r="1" customFormat="false" ht="30" hidden="false" customHeight="true" outlineLevel="0" collapsed="false">
      <c r="A1" s="35" t="s">
        <v>74</v>
      </c>
      <c r="B1" s="35"/>
      <c r="C1" s="35"/>
      <c r="D1" s="35"/>
      <c r="E1" s="35"/>
      <c r="F1" s="35"/>
      <c r="G1" s="35"/>
      <c r="H1" s="35"/>
    </row>
    <row r="2" customFormat="false" ht="15" hidden="false" customHeight="false" outlineLevel="0" collapsed="false">
      <c r="A2" s="56" t="s">
        <v>75</v>
      </c>
      <c r="B2" s="56"/>
      <c r="C2" s="56"/>
      <c r="D2" s="56"/>
      <c r="E2" s="56"/>
      <c r="F2" s="56"/>
      <c r="G2" s="56"/>
      <c r="H2" s="56"/>
    </row>
    <row r="3" customFormat="false" ht="15" hidden="false" customHeight="false" outlineLevel="0" collapsed="false">
      <c r="A3" s="37" t="s">
        <v>57</v>
      </c>
      <c r="B3" s="37" t="s">
        <v>76</v>
      </c>
      <c r="C3" s="37" t="s">
        <v>77</v>
      </c>
      <c r="D3" s="37" t="s">
        <v>60</v>
      </c>
      <c r="E3" s="37" t="s">
        <v>78</v>
      </c>
      <c r="F3" s="37" t="s">
        <v>79</v>
      </c>
      <c r="G3" s="37" t="s">
        <v>62</v>
      </c>
      <c r="H3" s="37" t="s">
        <v>59</v>
      </c>
    </row>
    <row r="4" customFormat="false" ht="15" hidden="false" customHeight="false" outlineLevel="0" collapsed="false">
      <c r="A4" s="46" t="n">
        <v>46174</v>
      </c>
      <c r="B4" s="47" t="s">
        <v>80</v>
      </c>
      <c r="C4" s="47" t="s">
        <v>81</v>
      </c>
      <c r="D4" s="48" t="n">
        <v>0</v>
      </c>
      <c r="E4" s="47" t="s">
        <v>82</v>
      </c>
      <c r="F4" s="47" t="s">
        <v>82</v>
      </c>
      <c r="G4" s="49" t="str">
        <f aca="false">IFERROR(TEXT(A4,"MMM YYYY"),"")</f>
        <v>Jun 2026</v>
      </c>
      <c r="H4" s="47" t="s">
        <v>83</v>
      </c>
    </row>
    <row r="5" customFormat="false" ht="15" hidden="false" customHeight="false" outlineLevel="0" collapsed="false">
      <c r="A5" s="50" t="n">
        <v>46174</v>
      </c>
      <c r="B5" s="51" t="s">
        <v>84</v>
      </c>
      <c r="C5" s="51" t="s">
        <v>85</v>
      </c>
      <c r="D5" s="52" t="n">
        <v>8.25</v>
      </c>
      <c r="E5" s="51" t="s">
        <v>82</v>
      </c>
      <c r="F5" s="51" t="s">
        <v>82</v>
      </c>
      <c r="G5" s="53" t="str">
        <f aca="false">IFERROR(TEXT(A5,"MMM YYYY"),"")</f>
        <v>Jun 2026</v>
      </c>
      <c r="H5" s="51" t="s">
        <v>86</v>
      </c>
    </row>
    <row r="6" customFormat="false" ht="15" hidden="false" customHeight="false" outlineLevel="0" collapsed="false">
      <c r="A6" s="46" t="n">
        <v>46176</v>
      </c>
      <c r="B6" s="47" t="s">
        <v>87</v>
      </c>
      <c r="C6" s="47" t="s">
        <v>66</v>
      </c>
      <c r="D6" s="48" t="n">
        <v>12.47</v>
      </c>
      <c r="E6" s="47" t="s">
        <v>82</v>
      </c>
      <c r="F6" s="47" t="s">
        <v>88</v>
      </c>
      <c r="G6" s="49" t="str">
        <f aca="false">IFERROR(TEXT(A6,"MMM YYYY"),"")</f>
        <v>Jun 2026</v>
      </c>
      <c r="H6" s="47" t="s">
        <v>89</v>
      </c>
    </row>
    <row r="7" customFormat="false" ht="15" hidden="false" customHeight="false" outlineLevel="0" collapsed="false">
      <c r="A7" s="50" t="n">
        <v>46183</v>
      </c>
      <c r="B7" s="51" t="s">
        <v>90</v>
      </c>
      <c r="C7" s="51" t="s">
        <v>91</v>
      </c>
      <c r="D7" s="52" t="n">
        <v>0</v>
      </c>
      <c r="E7" s="51" t="s">
        <v>82</v>
      </c>
      <c r="F7" s="51" t="s">
        <v>82</v>
      </c>
      <c r="G7" s="53" t="str">
        <f aca="false">IFERROR(TEXT(A7,"MMM YYYY"),"")</f>
        <v>Jun 2026</v>
      </c>
      <c r="H7" s="51" t="s">
        <v>92</v>
      </c>
    </row>
    <row r="8" customFormat="false" ht="15" hidden="false" customHeight="false" outlineLevel="0" collapsed="false">
      <c r="A8" s="46"/>
      <c r="B8" s="47"/>
      <c r="C8" s="47"/>
      <c r="D8" s="48"/>
      <c r="E8" s="47"/>
      <c r="F8" s="47"/>
      <c r="G8" s="49" t="str">
        <f aca="false">IFERROR(TEXT(A8,"MMM YYYY"),"")</f>
        <v>Dec 1899</v>
      </c>
      <c r="H8" s="47"/>
    </row>
    <row r="9" customFormat="false" ht="15" hidden="false" customHeight="false" outlineLevel="0" collapsed="false">
      <c r="A9" s="50"/>
      <c r="B9" s="51"/>
      <c r="C9" s="51"/>
      <c r="D9" s="52"/>
      <c r="E9" s="51"/>
      <c r="F9" s="51"/>
      <c r="G9" s="53" t="str">
        <f aca="false">IFERROR(TEXT(A9,"MMM YYYY"),"")</f>
        <v>Dec 1899</v>
      </c>
      <c r="H9" s="51"/>
    </row>
    <row r="10" customFormat="false" ht="15" hidden="false" customHeight="false" outlineLevel="0" collapsed="false">
      <c r="A10" s="46"/>
      <c r="B10" s="47"/>
      <c r="C10" s="47"/>
      <c r="D10" s="48"/>
      <c r="E10" s="47"/>
      <c r="F10" s="47"/>
      <c r="G10" s="49" t="str">
        <f aca="false">IFERROR(TEXT(A10,"MMM YYYY"),"")</f>
        <v>Dec 1899</v>
      </c>
      <c r="H10" s="47"/>
    </row>
    <row r="11" customFormat="false" ht="15" hidden="false" customHeight="false" outlineLevel="0" collapsed="false">
      <c r="A11" s="50"/>
      <c r="B11" s="51"/>
      <c r="C11" s="51"/>
      <c r="D11" s="52"/>
      <c r="E11" s="51"/>
      <c r="F11" s="51"/>
      <c r="G11" s="53" t="str">
        <f aca="false">IFERROR(TEXT(A11,"MMM YYYY"),"")</f>
        <v>Dec 1899</v>
      </c>
      <c r="H11" s="51"/>
    </row>
    <row r="12" customFormat="false" ht="15" hidden="false" customHeight="false" outlineLevel="0" collapsed="false">
      <c r="A12" s="46"/>
      <c r="B12" s="47"/>
      <c r="C12" s="47"/>
      <c r="D12" s="48"/>
      <c r="E12" s="47"/>
      <c r="F12" s="47"/>
      <c r="G12" s="49" t="str">
        <f aca="false">IFERROR(TEXT(A12,"MMM YYYY"),"")</f>
        <v>Dec 1899</v>
      </c>
      <c r="H12" s="47"/>
    </row>
    <row r="13" customFormat="false" ht="15" hidden="false" customHeight="false" outlineLevel="0" collapsed="false">
      <c r="A13" s="50"/>
      <c r="B13" s="51"/>
      <c r="C13" s="51"/>
      <c r="D13" s="52"/>
      <c r="E13" s="51"/>
      <c r="F13" s="51"/>
      <c r="G13" s="53" t="str">
        <f aca="false">IFERROR(TEXT(A13,"MMM YYYY"),"")</f>
        <v>Dec 1899</v>
      </c>
      <c r="H13" s="51"/>
    </row>
    <row r="14" customFormat="false" ht="15" hidden="false" customHeight="false" outlineLevel="0" collapsed="false">
      <c r="A14" s="46"/>
      <c r="B14" s="47"/>
      <c r="C14" s="47"/>
      <c r="D14" s="48"/>
      <c r="E14" s="47"/>
      <c r="F14" s="47"/>
      <c r="G14" s="49" t="str">
        <f aca="false">IFERROR(TEXT(A14,"MMM YYYY"),"")</f>
        <v>Dec 1899</v>
      </c>
      <c r="H14" s="47"/>
    </row>
    <row r="15" customFormat="false" ht="15" hidden="false" customHeight="false" outlineLevel="0" collapsed="false">
      <c r="A15" s="50"/>
      <c r="B15" s="51"/>
      <c r="C15" s="51"/>
      <c r="D15" s="52"/>
      <c r="E15" s="51"/>
      <c r="F15" s="51"/>
      <c r="G15" s="53" t="str">
        <f aca="false">IFERROR(TEXT(A15,"MMM YYYY"),"")</f>
        <v>Dec 1899</v>
      </c>
      <c r="H15" s="51"/>
    </row>
    <row r="16" customFormat="false" ht="15" hidden="false" customHeight="false" outlineLevel="0" collapsed="false">
      <c r="A16" s="46"/>
      <c r="B16" s="47"/>
      <c r="C16" s="47"/>
      <c r="D16" s="48"/>
      <c r="E16" s="47"/>
      <c r="F16" s="47"/>
      <c r="G16" s="49" t="str">
        <f aca="false">IFERROR(TEXT(A16,"MMM YYYY"),"")</f>
        <v>Dec 1899</v>
      </c>
      <c r="H16" s="47"/>
    </row>
    <row r="17" customFormat="false" ht="15" hidden="false" customHeight="false" outlineLevel="0" collapsed="false">
      <c r="A17" s="50"/>
      <c r="B17" s="51"/>
      <c r="C17" s="51"/>
      <c r="D17" s="52"/>
      <c r="E17" s="51"/>
      <c r="F17" s="51"/>
      <c r="G17" s="53" t="str">
        <f aca="false">IFERROR(TEXT(A17,"MMM YYYY"),"")</f>
        <v>Dec 1899</v>
      </c>
      <c r="H17" s="51"/>
    </row>
    <row r="18" customFormat="false" ht="15" hidden="false" customHeight="false" outlineLevel="0" collapsed="false">
      <c r="A18" s="46"/>
      <c r="B18" s="47"/>
      <c r="C18" s="47"/>
      <c r="D18" s="48"/>
      <c r="E18" s="47"/>
      <c r="F18" s="47"/>
      <c r="G18" s="49" t="str">
        <f aca="false">IFERROR(TEXT(A18,"MMM YYYY"),"")</f>
        <v>Dec 1899</v>
      </c>
      <c r="H18" s="47"/>
    </row>
    <row r="19" customFormat="false" ht="15" hidden="false" customHeight="false" outlineLevel="0" collapsed="false">
      <c r="A19" s="50"/>
      <c r="B19" s="51"/>
      <c r="C19" s="51"/>
      <c r="D19" s="52"/>
      <c r="E19" s="51"/>
      <c r="F19" s="51"/>
      <c r="G19" s="53" t="str">
        <f aca="false">IFERROR(TEXT(A19,"MMM YYYY"),"")</f>
        <v>Dec 1899</v>
      </c>
      <c r="H19" s="51"/>
    </row>
    <row r="20" customFormat="false" ht="15" hidden="false" customHeight="false" outlineLevel="0" collapsed="false">
      <c r="A20" s="46"/>
      <c r="B20" s="47"/>
      <c r="C20" s="47"/>
      <c r="D20" s="48"/>
      <c r="E20" s="47"/>
      <c r="F20" s="47"/>
      <c r="G20" s="49" t="str">
        <f aca="false">IFERROR(TEXT(A20,"MMM YYYY"),"")</f>
        <v>Dec 1899</v>
      </c>
      <c r="H20" s="47"/>
    </row>
    <row r="21" customFormat="false" ht="15" hidden="false" customHeight="false" outlineLevel="0" collapsed="false">
      <c r="A21" s="50"/>
      <c r="B21" s="51"/>
      <c r="C21" s="51"/>
      <c r="D21" s="52"/>
      <c r="E21" s="51"/>
      <c r="F21" s="51"/>
      <c r="G21" s="53" t="str">
        <f aca="false">IFERROR(TEXT(A21,"MMM YYYY"),"")</f>
        <v>Dec 1899</v>
      </c>
      <c r="H21" s="51"/>
    </row>
    <row r="22" customFormat="false" ht="15" hidden="false" customHeight="false" outlineLevel="0" collapsed="false">
      <c r="A22" s="46"/>
      <c r="B22" s="47"/>
      <c r="C22" s="47"/>
      <c r="D22" s="48"/>
      <c r="E22" s="47"/>
      <c r="F22" s="47"/>
      <c r="G22" s="49" t="str">
        <f aca="false">IFERROR(TEXT(A22,"MMM YYYY"),"")</f>
        <v>Dec 1899</v>
      </c>
      <c r="H22" s="47"/>
    </row>
    <row r="23" customFormat="false" ht="15" hidden="false" customHeight="false" outlineLevel="0" collapsed="false">
      <c r="A23" s="50"/>
      <c r="B23" s="51"/>
      <c r="C23" s="51"/>
      <c r="D23" s="52"/>
      <c r="E23" s="51"/>
      <c r="F23" s="51"/>
      <c r="G23" s="53" t="str">
        <f aca="false">IFERROR(TEXT(A23,"MMM YYYY"),"")</f>
        <v>Dec 1899</v>
      </c>
      <c r="H23" s="51"/>
    </row>
    <row r="24" customFormat="false" ht="15" hidden="false" customHeight="false" outlineLevel="0" collapsed="false">
      <c r="A24" s="46"/>
      <c r="B24" s="47"/>
      <c r="C24" s="47"/>
      <c r="D24" s="48"/>
      <c r="E24" s="47"/>
      <c r="F24" s="47"/>
      <c r="G24" s="49" t="str">
        <f aca="false">IFERROR(TEXT(A24,"MMM YYYY"),"")</f>
        <v>Dec 1899</v>
      </c>
      <c r="H24" s="47"/>
    </row>
    <row r="25" customFormat="false" ht="15" hidden="false" customHeight="false" outlineLevel="0" collapsed="false">
      <c r="A25" s="50"/>
      <c r="B25" s="51"/>
      <c r="C25" s="51"/>
      <c r="D25" s="52"/>
      <c r="E25" s="51"/>
      <c r="F25" s="51"/>
      <c r="G25" s="53" t="str">
        <f aca="false">IFERROR(TEXT(A25,"MMM YYYY"),"")</f>
        <v>Dec 1899</v>
      </c>
      <c r="H25" s="51"/>
    </row>
    <row r="26" customFormat="false" ht="15" hidden="false" customHeight="false" outlineLevel="0" collapsed="false">
      <c r="A26" s="46"/>
      <c r="B26" s="47"/>
      <c r="C26" s="47"/>
      <c r="D26" s="48"/>
      <c r="E26" s="47"/>
      <c r="F26" s="47"/>
      <c r="G26" s="49" t="str">
        <f aca="false">IFERROR(TEXT(A26,"MMM YYYY"),"")</f>
        <v>Dec 1899</v>
      </c>
      <c r="H26" s="47"/>
    </row>
    <row r="27" customFormat="false" ht="15" hidden="false" customHeight="false" outlineLevel="0" collapsed="false">
      <c r="A27" s="50"/>
      <c r="B27" s="51"/>
      <c r="C27" s="51"/>
      <c r="D27" s="52"/>
      <c r="E27" s="51"/>
      <c r="F27" s="51"/>
      <c r="G27" s="53" t="str">
        <f aca="false">IFERROR(TEXT(A27,"MMM YYYY"),"")</f>
        <v>Dec 1899</v>
      </c>
      <c r="H27" s="51"/>
    </row>
    <row r="28" customFormat="false" ht="15" hidden="false" customHeight="false" outlineLevel="0" collapsed="false">
      <c r="A28" s="46"/>
      <c r="B28" s="47"/>
      <c r="C28" s="47"/>
      <c r="D28" s="48"/>
      <c r="E28" s="47"/>
      <c r="F28" s="47"/>
      <c r="G28" s="49" t="str">
        <f aca="false">IFERROR(TEXT(A28,"MMM YYYY"),"")</f>
        <v>Dec 1899</v>
      </c>
      <c r="H28" s="47"/>
    </row>
    <row r="29" customFormat="false" ht="15" hidden="false" customHeight="false" outlineLevel="0" collapsed="false">
      <c r="A29" s="50"/>
      <c r="B29" s="51"/>
      <c r="C29" s="51"/>
      <c r="D29" s="52"/>
      <c r="E29" s="51"/>
      <c r="F29" s="51"/>
      <c r="G29" s="53" t="str">
        <f aca="false">IFERROR(TEXT(A29,"MMM YYYY"),"")</f>
        <v>Dec 1899</v>
      </c>
      <c r="H29" s="51"/>
    </row>
    <row r="30" customFormat="false" ht="15" hidden="false" customHeight="false" outlineLevel="0" collapsed="false">
      <c r="A30" s="46"/>
      <c r="B30" s="47"/>
      <c r="C30" s="47"/>
      <c r="D30" s="48"/>
      <c r="E30" s="47"/>
      <c r="F30" s="47"/>
      <c r="G30" s="49" t="str">
        <f aca="false">IFERROR(TEXT(A30,"MMM YYYY"),"")</f>
        <v>Dec 1899</v>
      </c>
      <c r="H30" s="47"/>
    </row>
    <row r="31" customFormat="false" ht="15" hidden="false" customHeight="false" outlineLevel="0" collapsed="false">
      <c r="A31" s="50"/>
      <c r="B31" s="51"/>
      <c r="C31" s="51"/>
      <c r="D31" s="52"/>
      <c r="E31" s="51"/>
      <c r="F31" s="51"/>
      <c r="G31" s="53" t="str">
        <f aca="false">IFERROR(TEXT(A31,"MMM YYYY"),"")</f>
        <v>Dec 1899</v>
      </c>
      <c r="H31" s="51"/>
    </row>
    <row r="32" customFormat="false" ht="15" hidden="false" customHeight="false" outlineLevel="0" collapsed="false">
      <c r="A32" s="46"/>
      <c r="B32" s="47"/>
      <c r="C32" s="47"/>
      <c r="D32" s="48"/>
      <c r="E32" s="47"/>
      <c r="F32" s="47"/>
      <c r="G32" s="49" t="str">
        <f aca="false">IFERROR(TEXT(A32,"MMM YYYY"),"")</f>
        <v>Dec 1899</v>
      </c>
      <c r="H32" s="47"/>
    </row>
    <row r="33" customFormat="false" ht="15" hidden="false" customHeight="false" outlineLevel="0" collapsed="false">
      <c r="A33" s="50"/>
      <c r="B33" s="51"/>
      <c r="C33" s="51"/>
      <c r="D33" s="52"/>
      <c r="E33" s="51"/>
      <c r="F33" s="51"/>
      <c r="G33" s="53" t="str">
        <f aca="false">IFERROR(TEXT(A33,"MMM YYYY"),"")</f>
        <v>Dec 1899</v>
      </c>
      <c r="H33" s="51"/>
    </row>
    <row r="34" customFormat="false" ht="15" hidden="false" customHeight="false" outlineLevel="0" collapsed="false">
      <c r="A34" s="46"/>
      <c r="B34" s="47"/>
      <c r="C34" s="47"/>
      <c r="D34" s="48"/>
      <c r="E34" s="47"/>
      <c r="F34" s="47"/>
      <c r="G34" s="49" t="str">
        <f aca="false">IFERROR(TEXT(A34,"MMM YYYY"),"")</f>
        <v>Dec 1899</v>
      </c>
      <c r="H34" s="47"/>
    </row>
    <row r="35" customFormat="false" ht="15" hidden="false" customHeight="false" outlineLevel="0" collapsed="false">
      <c r="A35" s="50"/>
      <c r="B35" s="51"/>
      <c r="C35" s="51"/>
      <c r="D35" s="52"/>
      <c r="E35" s="51"/>
      <c r="F35" s="51"/>
      <c r="G35" s="53" t="str">
        <f aca="false">IFERROR(TEXT(A35,"MMM YYYY"),"")</f>
        <v>Dec 1899</v>
      </c>
      <c r="H35" s="51"/>
    </row>
    <row r="36" customFormat="false" ht="15" hidden="false" customHeight="false" outlineLevel="0" collapsed="false">
      <c r="A36" s="46"/>
      <c r="B36" s="47"/>
      <c r="C36" s="47"/>
      <c r="D36" s="48"/>
      <c r="E36" s="47"/>
      <c r="F36" s="47"/>
      <c r="G36" s="49" t="str">
        <f aca="false">IFERROR(TEXT(A36,"MMM YYYY"),"")</f>
        <v>Dec 1899</v>
      </c>
      <c r="H36" s="47"/>
    </row>
    <row r="37" customFormat="false" ht="15" hidden="false" customHeight="false" outlineLevel="0" collapsed="false">
      <c r="A37" s="50"/>
      <c r="B37" s="51"/>
      <c r="C37" s="51"/>
      <c r="D37" s="52"/>
      <c r="E37" s="51"/>
      <c r="F37" s="51"/>
      <c r="G37" s="53" t="str">
        <f aca="false">IFERROR(TEXT(A37,"MMM YYYY"),"")</f>
        <v>Dec 1899</v>
      </c>
      <c r="H37" s="51"/>
    </row>
    <row r="38" customFormat="false" ht="15" hidden="false" customHeight="false" outlineLevel="0" collapsed="false">
      <c r="A38" s="46"/>
      <c r="B38" s="47"/>
      <c r="C38" s="47"/>
      <c r="D38" s="48"/>
      <c r="E38" s="47"/>
      <c r="F38" s="47"/>
      <c r="G38" s="49" t="str">
        <f aca="false">IFERROR(TEXT(A38,"MMM YYYY"),"")</f>
        <v>Dec 1899</v>
      </c>
      <c r="H38" s="47"/>
    </row>
    <row r="39" customFormat="false" ht="15" hidden="false" customHeight="false" outlineLevel="0" collapsed="false">
      <c r="A39" s="50"/>
      <c r="B39" s="51"/>
      <c r="C39" s="51"/>
      <c r="D39" s="52"/>
      <c r="E39" s="51"/>
      <c r="F39" s="51"/>
      <c r="G39" s="53" t="str">
        <f aca="false">IFERROR(TEXT(A39,"MMM YYYY"),"")</f>
        <v>Dec 1899</v>
      </c>
      <c r="H39" s="51"/>
    </row>
    <row r="40" customFormat="false" ht="15" hidden="false" customHeight="false" outlineLevel="0" collapsed="false">
      <c r="A40" s="46"/>
      <c r="B40" s="47"/>
      <c r="C40" s="47"/>
      <c r="D40" s="48"/>
      <c r="E40" s="47"/>
      <c r="F40" s="47"/>
      <c r="G40" s="49" t="str">
        <f aca="false">IFERROR(TEXT(A40,"MMM YYYY"),"")</f>
        <v>Dec 1899</v>
      </c>
      <c r="H40" s="47"/>
    </row>
    <row r="41" customFormat="false" ht="15" hidden="false" customHeight="false" outlineLevel="0" collapsed="false">
      <c r="A41" s="50"/>
      <c r="B41" s="51"/>
      <c r="C41" s="51"/>
      <c r="D41" s="52"/>
      <c r="E41" s="51"/>
      <c r="F41" s="51"/>
      <c r="G41" s="53" t="str">
        <f aca="false">IFERROR(TEXT(A41,"MMM YYYY"),"")</f>
        <v>Dec 1899</v>
      </c>
      <c r="H41" s="51"/>
    </row>
    <row r="42" customFormat="false" ht="15" hidden="false" customHeight="false" outlineLevel="0" collapsed="false">
      <c r="A42" s="46"/>
      <c r="B42" s="47"/>
      <c r="C42" s="47"/>
      <c r="D42" s="48"/>
      <c r="E42" s="47"/>
      <c r="F42" s="47"/>
      <c r="G42" s="49" t="str">
        <f aca="false">IFERROR(TEXT(A42,"MMM YYYY"),"")</f>
        <v>Dec 1899</v>
      </c>
      <c r="H42" s="47"/>
    </row>
    <row r="43" customFormat="false" ht="15" hidden="false" customHeight="false" outlineLevel="0" collapsed="false">
      <c r="A43" s="50"/>
      <c r="B43" s="51"/>
      <c r="C43" s="51"/>
      <c r="D43" s="52"/>
      <c r="E43" s="51"/>
      <c r="F43" s="51"/>
      <c r="G43" s="53" t="str">
        <f aca="false">IFERROR(TEXT(A43,"MMM YYYY"),"")</f>
        <v>Dec 1899</v>
      </c>
      <c r="H43" s="51"/>
    </row>
    <row r="44" customFormat="false" ht="15" hidden="false" customHeight="false" outlineLevel="0" collapsed="false">
      <c r="A44" s="46"/>
      <c r="B44" s="47"/>
      <c r="C44" s="47"/>
      <c r="D44" s="48"/>
      <c r="E44" s="47"/>
      <c r="F44" s="47"/>
      <c r="G44" s="49" t="str">
        <f aca="false">IFERROR(TEXT(A44,"MMM YYYY"),"")</f>
        <v>Dec 1899</v>
      </c>
      <c r="H44" s="47"/>
    </row>
    <row r="45" customFormat="false" ht="15" hidden="false" customHeight="false" outlineLevel="0" collapsed="false">
      <c r="A45" s="50"/>
      <c r="B45" s="51"/>
      <c r="C45" s="51"/>
      <c r="D45" s="52"/>
      <c r="E45" s="51"/>
      <c r="F45" s="51"/>
      <c r="G45" s="53" t="str">
        <f aca="false">IFERROR(TEXT(A45,"MMM YYYY"),"")</f>
        <v>Dec 1899</v>
      </c>
      <c r="H45" s="51"/>
    </row>
    <row r="46" customFormat="false" ht="15" hidden="false" customHeight="false" outlineLevel="0" collapsed="false">
      <c r="A46" s="46"/>
      <c r="B46" s="47"/>
      <c r="C46" s="47"/>
      <c r="D46" s="48"/>
      <c r="E46" s="47"/>
      <c r="F46" s="47"/>
      <c r="G46" s="49" t="str">
        <f aca="false">IFERROR(TEXT(A46,"MMM YYYY"),"")</f>
        <v>Dec 1899</v>
      </c>
      <c r="H46" s="47"/>
    </row>
    <row r="47" customFormat="false" ht="15" hidden="false" customHeight="false" outlineLevel="0" collapsed="false">
      <c r="A47" s="50"/>
      <c r="B47" s="51"/>
      <c r="C47" s="51"/>
      <c r="D47" s="52"/>
      <c r="E47" s="51"/>
      <c r="F47" s="51"/>
      <c r="G47" s="53" t="str">
        <f aca="false">IFERROR(TEXT(A47,"MMM YYYY"),"")</f>
        <v>Dec 1899</v>
      </c>
      <c r="H47" s="51"/>
    </row>
    <row r="48" customFormat="false" ht="15" hidden="false" customHeight="false" outlineLevel="0" collapsed="false">
      <c r="A48" s="46"/>
      <c r="B48" s="47"/>
      <c r="C48" s="47"/>
      <c r="D48" s="48"/>
      <c r="E48" s="47"/>
      <c r="F48" s="47"/>
      <c r="G48" s="49" t="str">
        <f aca="false">IFERROR(TEXT(A48,"MMM YYYY"),"")</f>
        <v>Dec 1899</v>
      </c>
      <c r="H48" s="47"/>
    </row>
    <row r="49" customFormat="false" ht="15" hidden="false" customHeight="false" outlineLevel="0" collapsed="false">
      <c r="A49" s="50"/>
      <c r="B49" s="51"/>
      <c r="C49" s="51"/>
      <c r="D49" s="52"/>
      <c r="E49" s="51"/>
      <c r="F49" s="51"/>
      <c r="G49" s="53" t="str">
        <f aca="false">IFERROR(TEXT(A49,"MMM YYYY"),"")</f>
        <v>Dec 1899</v>
      </c>
      <c r="H49" s="51"/>
    </row>
    <row r="50" customFormat="false" ht="15" hidden="false" customHeight="false" outlineLevel="0" collapsed="false">
      <c r="A50" s="46"/>
      <c r="B50" s="47"/>
      <c r="C50" s="47"/>
      <c r="D50" s="48"/>
      <c r="E50" s="47"/>
      <c r="F50" s="47"/>
      <c r="G50" s="49" t="str">
        <f aca="false">IFERROR(TEXT(A50,"MMM YYYY"),"")</f>
        <v>Dec 1899</v>
      </c>
      <c r="H50" s="47"/>
    </row>
    <row r="51" customFormat="false" ht="15" hidden="false" customHeight="false" outlineLevel="0" collapsed="false">
      <c r="A51" s="50"/>
      <c r="B51" s="51"/>
      <c r="C51" s="51"/>
      <c r="D51" s="52"/>
      <c r="E51" s="51"/>
      <c r="F51" s="51"/>
      <c r="G51" s="53" t="str">
        <f aca="false">IFERROR(TEXT(A51,"MMM YYYY"),"")</f>
        <v>Dec 1899</v>
      </c>
      <c r="H51" s="51"/>
    </row>
    <row r="52" customFormat="false" ht="15" hidden="false" customHeight="false" outlineLevel="0" collapsed="false">
      <c r="A52" s="46"/>
      <c r="B52" s="47"/>
      <c r="C52" s="47"/>
      <c r="D52" s="48"/>
      <c r="E52" s="47"/>
      <c r="F52" s="47"/>
      <c r="G52" s="49" t="str">
        <f aca="false">IFERROR(TEXT(A52,"MMM YYYY"),"")</f>
        <v>Dec 1899</v>
      </c>
      <c r="H52" s="47"/>
    </row>
    <row r="53" customFormat="false" ht="15" hidden="false" customHeight="false" outlineLevel="0" collapsed="false">
      <c r="A53" s="50"/>
      <c r="B53" s="51"/>
      <c r="C53" s="51"/>
      <c r="D53" s="52"/>
      <c r="E53" s="51"/>
      <c r="F53" s="51"/>
      <c r="G53" s="53" t="str">
        <f aca="false">IFERROR(TEXT(A53,"MMM YYYY"),"")</f>
        <v>Dec 1899</v>
      </c>
      <c r="H53" s="51"/>
    </row>
    <row r="54" customFormat="false" ht="15" hidden="false" customHeight="false" outlineLevel="0" collapsed="false">
      <c r="A54" s="46"/>
      <c r="B54" s="47"/>
      <c r="C54" s="47"/>
      <c r="D54" s="48"/>
      <c r="E54" s="47"/>
      <c r="F54" s="47"/>
      <c r="G54" s="49" t="str">
        <f aca="false">IFERROR(TEXT(A54,"MMM YYYY"),"")</f>
        <v>Dec 1899</v>
      </c>
      <c r="H54" s="47"/>
    </row>
    <row r="55" customFormat="false" ht="15" hidden="false" customHeight="false" outlineLevel="0" collapsed="false">
      <c r="A55" s="50"/>
      <c r="B55" s="51"/>
      <c r="C55" s="51"/>
      <c r="D55" s="52"/>
      <c r="E55" s="51"/>
      <c r="F55" s="51"/>
      <c r="G55" s="53" t="str">
        <f aca="false">IFERROR(TEXT(A55,"MMM YYYY"),"")</f>
        <v>Dec 1899</v>
      </c>
      <c r="H55" s="51"/>
    </row>
    <row r="56" customFormat="false" ht="15" hidden="false" customHeight="false" outlineLevel="0" collapsed="false">
      <c r="A56" s="46"/>
      <c r="B56" s="47"/>
      <c r="C56" s="47"/>
      <c r="D56" s="48"/>
      <c r="E56" s="47"/>
      <c r="F56" s="47"/>
      <c r="G56" s="49" t="str">
        <f aca="false">IFERROR(TEXT(A56,"MMM YYYY"),"")</f>
        <v>Dec 1899</v>
      </c>
      <c r="H56" s="47"/>
    </row>
    <row r="57" customFormat="false" ht="15" hidden="false" customHeight="false" outlineLevel="0" collapsed="false">
      <c r="A57" s="50"/>
      <c r="B57" s="51"/>
      <c r="C57" s="51"/>
      <c r="D57" s="52"/>
      <c r="E57" s="51"/>
      <c r="F57" s="51"/>
      <c r="G57" s="53" t="str">
        <f aca="false">IFERROR(TEXT(A57,"MMM YYYY"),"")</f>
        <v>Dec 1899</v>
      </c>
      <c r="H57" s="51"/>
    </row>
    <row r="58" customFormat="false" ht="15" hidden="false" customHeight="false" outlineLevel="0" collapsed="false">
      <c r="A58" s="46"/>
      <c r="B58" s="47"/>
      <c r="C58" s="47"/>
      <c r="D58" s="48"/>
      <c r="E58" s="47"/>
      <c r="F58" s="47"/>
      <c r="G58" s="49" t="str">
        <f aca="false">IFERROR(TEXT(A58,"MMM YYYY"),"")</f>
        <v>Dec 1899</v>
      </c>
      <c r="H58" s="47"/>
    </row>
    <row r="59" customFormat="false" ht="15" hidden="false" customHeight="false" outlineLevel="0" collapsed="false">
      <c r="A59" s="50"/>
      <c r="B59" s="51"/>
      <c r="C59" s="51"/>
      <c r="D59" s="52"/>
      <c r="E59" s="51"/>
      <c r="F59" s="51"/>
      <c r="G59" s="53" t="str">
        <f aca="false">IFERROR(TEXT(A59,"MMM YYYY"),"")</f>
        <v>Dec 1899</v>
      </c>
      <c r="H59" s="51"/>
    </row>
    <row r="60" customFormat="false" ht="15" hidden="false" customHeight="false" outlineLevel="0" collapsed="false">
      <c r="A60" s="46"/>
      <c r="B60" s="47"/>
      <c r="C60" s="47"/>
      <c r="D60" s="48"/>
      <c r="E60" s="47"/>
      <c r="F60" s="47"/>
      <c r="G60" s="49" t="str">
        <f aca="false">IFERROR(TEXT(A60,"MMM YYYY"),"")</f>
        <v>Dec 1899</v>
      </c>
      <c r="H60" s="47"/>
    </row>
    <row r="61" customFormat="false" ht="15" hidden="false" customHeight="false" outlineLevel="0" collapsed="false">
      <c r="A61" s="50"/>
      <c r="B61" s="51"/>
      <c r="C61" s="51"/>
      <c r="D61" s="52"/>
      <c r="E61" s="51"/>
      <c r="F61" s="51"/>
      <c r="G61" s="53" t="str">
        <f aca="false">IFERROR(TEXT(A61,"MMM YYYY"),"")</f>
        <v>Dec 1899</v>
      </c>
      <c r="H61" s="51"/>
    </row>
    <row r="62" customFormat="false" ht="15" hidden="false" customHeight="false" outlineLevel="0" collapsed="false">
      <c r="A62" s="46"/>
      <c r="B62" s="47"/>
      <c r="C62" s="47"/>
      <c r="D62" s="48"/>
      <c r="E62" s="47"/>
      <c r="F62" s="47"/>
      <c r="G62" s="49" t="str">
        <f aca="false">IFERROR(TEXT(A62,"MMM YYYY"),"")</f>
        <v>Dec 1899</v>
      </c>
      <c r="H62" s="47"/>
    </row>
    <row r="63" customFormat="false" ht="15" hidden="false" customHeight="false" outlineLevel="0" collapsed="false">
      <c r="A63" s="50"/>
      <c r="B63" s="51"/>
      <c r="C63" s="51"/>
      <c r="D63" s="52"/>
      <c r="E63" s="51"/>
      <c r="F63" s="51"/>
      <c r="G63" s="53" t="str">
        <f aca="false">IFERROR(TEXT(A63,"MMM YYYY"),"")</f>
        <v>Dec 1899</v>
      </c>
      <c r="H63" s="51"/>
    </row>
    <row r="64" customFormat="false" ht="15" hidden="false" customHeight="false" outlineLevel="0" collapsed="false">
      <c r="A64" s="46"/>
      <c r="B64" s="47"/>
      <c r="C64" s="47"/>
      <c r="D64" s="48"/>
      <c r="E64" s="47"/>
      <c r="F64" s="47"/>
      <c r="G64" s="49" t="str">
        <f aca="false">IFERROR(TEXT(A64,"MMM YYYY"),"")</f>
        <v>Dec 1899</v>
      </c>
      <c r="H64" s="47"/>
    </row>
    <row r="65" customFormat="false" ht="15" hidden="false" customHeight="false" outlineLevel="0" collapsed="false">
      <c r="A65" s="50"/>
      <c r="B65" s="51"/>
      <c r="C65" s="51"/>
      <c r="D65" s="52"/>
      <c r="E65" s="51"/>
      <c r="F65" s="51"/>
      <c r="G65" s="53" t="str">
        <f aca="false">IFERROR(TEXT(A65,"MMM YYYY"),"")</f>
        <v>Dec 1899</v>
      </c>
      <c r="H65" s="51"/>
    </row>
    <row r="66" customFormat="false" ht="15" hidden="false" customHeight="false" outlineLevel="0" collapsed="false">
      <c r="A66" s="46"/>
      <c r="B66" s="47"/>
      <c r="C66" s="47"/>
      <c r="D66" s="48"/>
      <c r="E66" s="47"/>
      <c r="F66" s="47"/>
      <c r="G66" s="49" t="str">
        <f aca="false">IFERROR(TEXT(A66,"MMM YYYY"),"")</f>
        <v>Dec 1899</v>
      </c>
      <c r="H66" s="47"/>
    </row>
    <row r="67" customFormat="false" ht="15" hidden="false" customHeight="false" outlineLevel="0" collapsed="false">
      <c r="A67" s="50"/>
      <c r="B67" s="51"/>
      <c r="C67" s="51"/>
      <c r="D67" s="52"/>
      <c r="E67" s="51"/>
      <c r="F67" s="51"/>
      <c r="G67" s="53" t="str">
        <f aca="false">IFERROR(TEXT(A67,"MMM YYYY"),"")</f>
        <v>Dec 1899</v>
      </c>
      <c r="H67" s="51"/>
    </row>
    <row r="68" customFormat="false" ht="15" hidden="false" customHeight="false" outlineLevel="0" collapsed="false">
      <c r="A68" s="46"/>
      <c r="B68" s="47"/>
      <c r="C68" s="47"/>
      <c r="D68" s="48"/>
      <c r="E68" s="47"/>
      <c r="F68" s="47"/>
      <c r="G68" s="49" t="str">
        <f aca="false">IFERROR(TEXT(A68,"MMM YYYY"),"")</f>
        <v>Dec 1899</v>
      </c>
      <c r="H68" s="47"/>
    </row>
    <row r="69" customFormat="false" ht="15" hidden="false" customHeight="false" outlineLevel="0" collapsed="false">
      <c r="A69" s="50"/>
      <c r="B69" s="51"/>
      <c r="C69" s="51"/>
      <c r="D69" s="52"/>
      <c r="E69" s="51"/>
      <c r="F69" s="51"/>
      <c r="G69" s="53" t="str">
        <f aca="false">IFERROR(TEXT(A69,"MMM YYYY"),"")</f>
        <v>Dec 1899</v>
      </c>
      <c r="H69" s="51"/>
    </row>
    <row r="70" customFormat="false" ht="15" hidden="false" customHeight="false" outlineLevel="0" collapsed="false">
      <c r="A70" s="46"/>
      <c r="B70" s="47"/>
      <c r="C70" s="47"/>
      <c r="D70" s="48"/>
      <c r="E70" s="47"/>
      <c r="F70" s="47"/>
      <c r="G70" s="49" t="str">
        <f aca="false">IFERROR(TEXT(A70,"MMM YYYY"),"")</f>
        <v>Dec 1899</v>
      </c>
      <c r="H70" s="47"/>
    </row>
    <row r="71" customFormat="false" ht="15" hidden="false" customHeight="false" outlineLevel="0" collapsed="false">
      <c r="A71" s="50"/>
      <c r="B71" s="51"/>
      <c r="C71" s="51"/>
      <c r="D71" s="52"/>
      <c r="E71" s="51"/>
      <c r="F71" s="51"/>
      <c r="G71" s="53" t="str">
        <f aca="false">IFERROR(TEXT(A71,"MMM YYYY"),"")</f>
        <v>Dec 1899</v>
      </c>
      <c r="H71" s="51"/>
    </row>
    <row r="72" customFormat="false" ht="15" hidden="false" customHeight="false" outlineLevel="0" collapsed="false">
      <c r="A72" s="46"/>
      <c r="B72" s="47"/>
      <c r="C72" s="47"/>
      <c r="D72" s="48"/>
      <c r="E72" s="47"/>
      <c r="F72" s="47"/>
      <c r="G72" s="49" t="str">
        <f aca="false">IFERROR(TEXT(A72,"MMM YYYY"),"")</f>
        <v>Dec 1899</v>
      </c>
      <c r="H72" s="47"/>
    </row>
    <row r="73" customFormat="false" ht="15" hidden="false" customHeight="false" outlineLevel="0" collapsed="false">
      <c r="A73" s="50"/>
      <c r="B73" s="51"/>
      <c r="C73" s="51"/>
      <c r="D73" s="52"/>
      <c r="E73" s="51"/>
      <c r="F73" s="51"/>
      <c r="G73" s="53" t="str">
        <f aca="false">IFERROR(TEXT(A73,"MMM YYYY"),"")</f>
        <v>Dec 1899</v>
      </c>
      <c r="H73" s="51"/>
    </row>
    <row r="74" customFormat="false" ht="15" hidden="false" customHeight="false" outlineLevel="0" collapsed="false">
      <c r="A74" s="46"/>
      <c r="B74" s="47"/>
      <c r="C74" s="47"/>
      <c r="D74" s="48"/>
      <c r="E74" s="47"/>
      <c r="F74" s="47"/>
      <c r="G74" s="49" t="str">
        <f aca="false">IFERROR(TEXT(A74,"MMM YYYY"),"")</f>
        <v>Dec 1899</v>
      </c>
      <c r="H74" s="47"/>
    </row>
    <row r="75" customFormat="false" ht="15" hidden="false" customHeight="false" outlineLevel="0" collapsed="false">
      <c r="A75" s="50"/>
      <c r="B75" s="51"/>
      <c r="C75" s="51"/>
      <c r="D75" s="52"/>
      <c r="E75" s="51"/>
      <c r="F75" s="51"/>
      <c r="G75" s="53" t="str">
        <f aca="false">IFERROR(TEXT(A75,"MMM YYYY"),"")</f>
        <v>Dec 1899</v>
      </c>
      <c r="H75" s="51"/>
    </row>
    <row r="76" customFormat="false" ht="15" hidden="false" customHeight="false" outlineLevel="0" collapsed="false">
      <c r="A76" s="46"/>
      <c r="B76" s="47"/>
      <c r="C76" s="47"/>
      <c r="D76" s="48"/>
      <c r="E76" s="47"/>
      <c r="F76" s="47"/>
      <c r="G76" s="49" t="str">
        <f aca="false">IFERROR(TEXT(A76,"MMM YYYY"),"")</f>
        <v>Dec 1899</v>
      </c>
      <c r="H76" s="47"/>
    </row>
    <row r="77" customFormat="false" ht="15" hidden="false" customHeight="false" outlineLevel="0" collapsed="false">
      <c r="A77" s="50"/>
      <c r="B77" s="51"/>
      <c r="C77" s="51"/>
      <c r="D77" s="52"/>
      <c r="E77" s="51"/>
      <c r="F77" s="51"/>
      <c r="G77" s="53" t="str">
        <f aca="false">IFERROR(TEXT(A77,"MMM YYYY"),"")</f>
        <v>Dec 1899</v>
      </c>
      <c r="H77" s="51"/>
    </row>
    <row r="78" customFormat="false" ht="15" hidden="false" customHeight="false" outlineLevel="0" collapsed="false">
      <c r="A78" s="46"/>
      <c r="B78" s="47"/>
      <c r="C78" s="47"/>
      <c r="D78" s="48"/>
      <c r="E78" s="47"/>
      <c r="F78" s="47"/>
      <c r="G78" s="49" t="str">
        <f aca="false">IFERROR(TEXT(A78,"MMM YYYY"),"")</f>
        <v>Dec 1899</v>
      </c>
      <c r="H78" s="47"/>
    </row>
    <row r="79" customFormat="false" ht="15" hidden="false" customHeight="false" outlineLevel="0" collapsed="false">
      <c r="A79" s="50"/>
      <c r="B79" s="51"/>
      <c r="C79" s="51"/>
      <c r="D79" s="52"/>
      <c r="E79" s="51"/>
      <c r="F79" s="51"/>
      <c r="G79" s="53" t="str">
        <f aca="false">IFERROR(TEXT(A79,"MMM YYYY"),"")</f>
        <v>Dec 1899</v>
      </c>
      <c r="H79" s="51"/>
    </row>
    <row r="80" customFormat="false" ht="15" hidden="false" customHeight="false" outlineLevel="0" collapsed="false">
      <c r="A80" s="46"/>
      <c r="B80" s="47"/>
      <c r="C80" s="47"/>
      <c r="D80" s="48"/>
      <c r="E80" s="47"/>
      <c r="F80" s="47"/>
      <c r="G80" s="49" t="str">
        <f aca="false">IFERROR(TEXT(A80,"MMM YYYY"),"")</f>
        <v>Dec 1899</v>
      </c>
      <c r="H80" s="47"/>
    </row>
    <row r="81" customFormat="false" ht="15" hidden="false" customHeight="false" outlineLevel="0" collapsed="false">
      <c r="A81" s="50"/>
      <c r="B81" s="51"/>
      <c r="C81" s="51"/>
      <c r="D81" s="52"/>
      <c r="E81" s="51"/>
      <c r="F81" s="51"/>
      <c r="G81" s="53" t="str">
        <f aca="false">IFERROR(TEXT(A81,"MMM YYYY"),"")</f>
        <v>Dec 1899</v>
      </c>
      <c r="H81" s="51"/>
    </row>
    <row r="82" customFormat="false" ht="15" hidden="false" customHeight="false" outlineLevel="0" collapsed="false">
      <c r="A82" s="46"/>
      <c r="B82" s="47"/>
      <c r="C82" s="47"/>
      <c r="D82" s="48"/>
      <c r="E82" s="47"/>
      <c r="F82" s="47"/>
      <c r="G82" s="49" t="str">
        <f aca="false">IFERROR(TEXT(A82,"MMM YYYY"),"")</f>
        <v>Dec 1899</v>
      </c>
      <c r="H82" s="47"/>
    </row>
    <row r="83" customFormat="false" ht="15" hidden="false" customHeight="false" outlineLevel="0" collapsed="false">
      <c r="A83" s="50"/>
      <c r="B83" s="51"/>
      <c r="C83" s="51"/>
      <c r="D83" s="52"/>
      <c r="E83" s="51"/>
      <c r="F83" s="51"/>
      <c r="G83" s="53" t="str">
        <f aca="false">IFERROR(TEXT(A83,"MMM YYYY"),"")</f>
        <v>Dec 1899</v>
      </c>
      <c r="H83" s="51"/>
    </row>
    <row r="84" customFormat="false" ht="15" hidden="false" customHeight="false" outlineLevel="0" collapsed="false">
      <c r="A84" s="46"/>
      <c r="B84" s="47"/>
      <c r="C84" s="47"/>
      <c r="D84" s="48"/>
      <c r="E84" s="47"/>
      <c r="F84" s="47"/>
      <c r="G84" s="49" t="str">
        <f aca="false">IFERROR(TEXT(A84,"MMM YYYY"),"")</f>
        <v>Dec 1899</v>
      </c>
      <c r="H84" s="47"/>
    </row>
    <row r="85" customFormat="false" ht="15" hidden="false" customHeight="false" outlineLevel="0" collapsed="false">
      <c r="A85" s="50"/>
      <c r="B85" s="51"/>
      <c r="C85" s="51"/>
      <c r="D85" s="52"/>
      <c r="E85" s="51"/>
      <c r="F85" s="51"/>
      <c r="G85" s="53" t="str">
        <f aca="false">IFERROR(TEXT(A85,"MMM YYYY"),"")</f>
        <v>Dec 1899</v>
      </c>
      <c r="H85" s="51"/>
    </row>
    <row r="86" customFormat="false" ht="15" hidden="false" customHeight="false" outlineLevel="0" collapsed="false">
      <c r="A86" s="46"/>
      <c r="B86" s="47"/>
      <c r="C86" s="47"/>
      <c r="D86" s="48"/>
      <c r="E86" s="47"/>
      <c r="F86" s="47"/>
      <c r="G86" s="49" t="str">
        <f aca="false">IFERROR(TEXT(A86,"MMM YYYY"),"")</f>
        <v>Dec 1899</v>
      </c>
      <c r="H86" s="47"/>
    </row>
    <row r="87" customFormat="false" ht="15" hidden="false" customHeight="false" outlineLevel="0" collapsed="false">
      <c r="A87" s="50"/>
      <c r="B87" s="51"/>
      <c r="C87" s="51"/>
      <c r="D87" s="52"/>
      <c r="E87" s="51"/>
      <c r="F87" s="51"/>
      <c r="G87" s="53" t="str">
        <f aca="false">IFERROR(TEXT(A87,"MMM YYYY"),"")</f>
        <v>Dec 1899</v>
      </c>
      <c r="H87" s="51"/>
    </row>
    <row r="88" customFormat="false" ht="15" hidden="false" customHeight="false" outlineLevel="0" collapsed="false">
      <c r="A88" s="46"/>
      <c r="B88" s="47"/>
      <c r="C88" s="47"/>
      <c r="D88" s="48"/>
      <c r="E88" s="47"/>
      <c r="F88" s="47"/>
      <c r="G88" s="49" t="str">
        <f aca="false">IFERROR(TEXT(A88,"MMM YYYY"),"")</f>
        <v>Dec 1899</v>
      </c>
      <c r="H88" s="47"/>
    </row>
    <row r="89" customFormat="false" ht="15" hidden="false" customHeight="false" outlineLevel="0" collapsed="false">
      <c r="A89" s="50"/>
      <c r="B89" s="51"/>
      <c r="C89" s="51"/>
      <c r="D89" s="52"/>
      <c r="E89" s="51"/>
      <c r="F89" s="51"/>
      <c r="G89" s="53" t="str">
        <f aca="false">IFERROR(TEXT(A89,"MMM YYYY"),"")</f>
        <v>Dec 1899</v>
      </c>
      <c r="H89" s="51"/>
    </row>
    <row r="90" customFormat="false" ht="15" hidden="false" customHeight="false" outlineLevel="0" collapsed="false">
      <c r="A90" s="46"/>
      <c r="B90" s="47"/>
      <c r="C90" s="47"/>
      <c r="D90" s="48"/>
      <c r="E90" s="47"/>
      <c r="F90" s="47"/>
      <c r="G90" s="49" t="str">
        <f aca="false">IFERROR(TEXT(A90,"MMM YYYY"),"")</f>
        <v>Dec 1899</v>
      </c>
      <c r="H90" s="47"/>
    </row>
    <row r="91" customFormat="false" ht="15" hidden="false" customHeight="false" outlineLevel="0" collapsed="false">
      <c r="A91" s="50"/>
      <c r="B91" s="51"/>
      <c r="C91" s="51"/>
      <c r="D91" s="52"/>
      <c r="E91" s="51"/>
      <c r="F91" s="51"/>
      <c r="G91" s="53" t="str">
        <f aca="false">IFERROR(TEXT(A91,"MMM YYYY"),"")</f>
        <v>Dec 1899</v>
      </c>
      <c r="H91" s="51"/>
    </row>
    <row r="92" customFormat="false" ht="15" hidden="false" customHeight="false" outlineLevel="0" collapsed="false">
      <c r="A92" s="46"/>
      <c r="B92" s="47"/>
      <c r="C92" s="47"/>
      <c r="D92" s="48"/>
      <c r="E92" s="47"/>
      <c r="F92" s="47"/>
      <c r="G92" s="49" t="str">
        <f aca="false">IFERROR(TEXT(A92,"MMM YYYY"),"")</f>
        <v>Dec 1899</v>
      </c>
      <c r="H92" s="47"/>
    </row>
    <row r="93" customFormat="false" ht="15" hidden="false" customHeight="false" outlineLevel="0" collapsed="false">
      <c r="A93" s="50"/>
      <c r="B93" s="51"/>
      <c r="C93" s="51"/>
      <c r="D93" s="52"/>
      <c r="E93" s="51"/>
      <c r="F93" s="51"/>
      <c r="G93" s="53" t="str">
        <f aca="false">IFERROR(TEXT(A93,"MMM YYYY"),"")</f>
        <v>Dec 1899</v>
      </c>
      <c r="H93" s="51"/>
    </row>
    <row r="94" customFormat="false" ht="15" hidden="false" customHeight="false" outlineLevel="0" collapsed="false">
      <c r="A94" s="46"/>
      <c r="B94" s="47"/>
      <c r="C94" s="47"/>
      <c r="D94" s="48"/>
      <c r="E94" s="47"/>
      <c r="F94" s="47"/>
      <c r="G94" s="49" t="str">
        <f aca="false">IFERROR(TEXT(A94,"MMM YYYY"),"")</f>
        <v>Dec 1899</v>
      </c>
      <c r="H94" s="47"/>
    </row>
    <row r="95" customFormat="false" ht="15" hidden="false" customHeight="false" outlineLevel="0" collapsed="false">
      <c r="A95" s="50"/>
      <c r="B95" s="51"/>
      <c r="C95" s="51"/>
      <c r="D95" s="52"/>
      <c r="E95" s="51"/>
      <c r="F95" s="51"/>
      <c r="G95" s="53" t="str">
        <f aca="false">IFERROR(TEXT(A95,"MMM YYYY"),"")</f>
        <v>Dec 1899</v>
      </c>
      <c r="H95" s="51"/>
    </row>
    <row r="96" customFormat="false" ht="15" hidden="false" customHeight="false" outlineLevel="0" collapsed="false">
      <c r="A96" s="46"/>
      <c r="B96" s="47"/>
      <c r="C96" s="47"/>
      <c r="D96" s="48"/>
      <c r="E96" s="47"/>
      <c r="F96" s="47"/>
      <c r="G96" s="49" t="str">
        <f aca="false">IFERROR(TEXT(A96,"MMM YYYY"),"")</f>
        <v>Dec 1899</v>
      </c>
      <c r="H96" s="47"/>
    </row>
    <row r="97" customFormat="false" ht="15" hidden="false" customHeight="false" outlineLevel="0" collapsed="false">
      <c r="A97" s="50"/>
      <c r="B97" s="51"/>
      <c r="C97" s="51"/>
      <c r="D97" s="52"/>
      <c r="E97" s="51"/>
      <c r="F97" s="51"/>
      <c r="G97" s="53" t="str">
        <f aca="false">IFERROR(TEXT(A97,"MMM YYYY"),"")</f>
        <v>Dec 1899</v>
      </c>
      <c r="H97" s="51"/>
    </row>
    <row r="98" customFormat="false" ht="15" hidden="false" customHeight="false" outlineLevel="0" collapsed="false">
      <c r="A98" s="46"/>
      <c r="B98" s="47"/>
      <c r="C98" s="47"/>
      <c r="D98" s="48"/>
      <c r="E98" s="47"/>
      <c r="F98" s="47"/>
      <c r="G98" s="49" t="str">
        <f aca="false">IFERROR(TEXT(A98,"MMM YYYY"),"")</f>
        <v>Dec 1899</v>
      </c>
      <c r="H98" s="47"/>
    </row>
    <row r="99" customFormat="false" ht="15" hidden="false" customHeight="false" outlineLevel="0" collapsed="false">
      <c r="A99" s="50"/>
      <c r="B99" s="51"/>
      <c r="C99" s="51"/>
      <c r="D99" s="52"/>
      <c r="E99" s="51"/>
      <c r="F99" s="51"/>
      <c r="G99" s="53" t="str">
        <f aca="false">IFERROR(TEXT(A99,"MMM YYYY"),"")</f>
        <v>Dec 1899</v>
      </c>
      <c r="H99" s="51"/>
    </row>
    <row r="100" customFormat="false" ht="15" hidden="false" customHeight="false" outlineLevel="0" collapsed="false">
      <c r="A100" s="46"/>
      <c r="B100" s="47"/>
      <c r="C100" s="47"/>
      <c r="D100" s="48"/>
      <c r="E100" s="47"/>
      <c r="F100" s="47"/>
      <c r="G100" s="49" t="str">
        <f aca="false">IFERROR(TEXT(A100,"MMM YYYY"),"")</f>
        <v>Dec 1899</v>
      </c>
      <c r="H100" s="47"/>
    </row>
    <row r="101" customFormat="false" ht="15" hidden="false" customHeight="false" outlineLevel="0" collapsed="false">
      <c r="A101" s="50"/>
      <c r="B101" s="51"/>
      <c r="C101" s="51"/>
      <c r="D101" s="52"/>
      <c r="E101" s="51"/>
      <c r="F101" s="51"/>
      <c r="G101" s="53" t="str">
        <f aca="false">IFERROR(TEXT(A101,"MMM YYYY"),"")</f>
        <v>Dec 1899</v>
      </c>
      <c r="H101" s="51"/>
    </row>
    <row r="102" customFormat="false" ht="15" hidden="false" customHeight="false" outlineLevel="0" collapsed="false">
      <c r="A102" s="46"/>
      <c r="B102" s="47"/>
      <c r="C102" s="47"/>
      <c r="D102" s="48"/>
      <c r="E102" s="47"/>
      <c r="F102" s="47"/>
      <c r="G102" s="49" t="str">
        <f aca="false">IFERROR(TEXT(A102,"MMM YYYY"),"")</f>
        <v>Dec 1899</v>
      </c>
      <c r="H102" s="47"/>
    </row>
    <row r="103" customFormat="false" ht="15" hidden="false" customHeight="false" outlineLevel="0" collapsed="false">
      <c r="A103" s="50"/>
      <c r="B103" s="51"/>
      <c r="C103" s="51"/>
      <c r="D103" s="52"/>
      <c r="E103" s="51"/>
      <c r="F103" s="51"/>
      <c r="G103" s="53" t="str">
        <f aca="false">IFERROR(TEXT(A103,"MMM YYYY"),"")</f>
        <v>Dec 1899</v>
      </c>
      <c r="H103" s="51"/>
    </row>
    <row r="104" customFormat="false" ht="15" hidden="false" customHeight="false" outlineLevel="0" collapsed="false">
      <c r="A104" s="46"/>
      <c r="B104" s="47"/>
      <c r="C104" s="47"/>
      <c r="D104" s="48"/>
      <c r="E104" s="47"/>
      <c r="F104" s="47"/>
      <c r="G104" s="49" t="str">
        <f aca="false">IFERROR(TEXT(A104,"MMM YYYY"),"")</f>
        <v>Dec 1899</v>
      </c>
      <c r="H104" s="47"/>
    </row>
    <row r="105" customFormat="false" ht="15" hidden="false" customHeight="false" outlineLevel="0" collapsed="false">
      <c r="A105" s="50"/>
      <c r="B105" s="51"/>
      <c r="C105" s="51"/>
      <c r="D105" s="52"/>
      <c r="E105" s="51"/>
      <c r="F105" s="51"/>
      <c r="G105" s="53" t="str">
        <f aca="false">IFERROR(TEXT(A105,"MMM YYYY"),"")</f>
        <v>Dec 1899</v>
      </c>
      <c r="H105" s="51"/>
    </row>
    <row r="106" customFormat="false" ht="15" hidden="false" customHeight="false" outlineLevel="0" collapsed="false">
      <c r="A106" s="46"/>
      <c r="B106" s="47"/>
      <c r="C106" s="47"/>
      <c r="D106" s="48"/>
      <c r="E106" s="47"/>
      <c r="F106" s="47"/>
      <c r="G106" s="49" t="str">
        <f aca="false">IFERROR(TEXT(A106,"MMM YYYY"),"")</f>
        <v>Dec 1899</v>
      </c>
      <c r="H106" s="47"/>
    </row>
    <row r="107" customFormat="false" ht="15" hidden="false" customHeight="false" outlineLevel="0" collapsed="false">
      <c r="A107" s="50"/>
      <c r="B107" s="51"/>
      <c r="C107" s="51"/>
      <c r="D107" s="52"/>
      <c r="E107" s="51"/>
      <c r="F107" s="51"/>
      <c r="G107" s="53" t="str">
        <f aca="false">IFERROR(TEXT(A107,"MMM YYYY"),"")</f>
        <v>Dec 1899</v>
      </c>
      <c r="H107" s="51"/>
    </row>
    <row r="109" customFormat="false" ht="15" hidden="false" customHeight="false" outlineLevel="0" collapsed="false">
      <c r="C109" s="54" t="s">
        <v>93</v>
      </c>
      <c r="D109" s="57" t="n">
        <f aca="false">SUM(D4:D108)</f>
        <v>20.72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10"/>
    <col collapsed="false" customWidth="true" hidden="false" outlineLevel="0" max="6" min="6" style="0" width="28"/>
  </cols>
  <sheetData>
    <row r="1" customFormat="false" ht="30" hidden="false" customHeight="true" outlineLevel="0" collapsed="false">
      <c r="A1" s="35" t="s">
        <v>94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58" t="s">
        <v>95</v>
      </c>
      <c r="B2" s="58"/>
      <c r="C2" s="58"/>
      <c r="D2" s="58"/>
      <c r="E2" s="58"/>
      <c r="F2" s="58"/>
    </row>
    <row r="3" customFormat="false" ht="15" hidden="false" customHeight="false" outlineLevel="0" collapsed="false">
      <c r="A3" s="37" t="s">
        <v>57</v>
      </c>
      <c r="B3" s="37" t="s">
        <v>96</v>
      </c>
      <c r="C3" s="37" t="s">
        <v>97</v>
      </c>
      <c r="D3" s="37" t="s">
        <v>98</v>
      </c>
      <c r="E3" s="37" t="s">
        <v>99</v>
      </c>
      <c r="F3" s="37" t="s">
        <v>63</v>
      </c>
    </row>
    <row r="4" customFormat="false" ht="15" hidden="false" customHeight="false" outlineLevel="0" collapsed="false">
      <c r="A4" s="46" t="n">
        <v>46174</v>
      </c>
      <c r="B4" s="48" t="n">
        <v>337.5</v>
      </c>
      <c r="C4" s="48" t="n">
        <v>101.25</v>
      </c>
      <c r="D4" s="47" t="s">
        <v>100</v>
      </c>
      <c r="E4" s="47" t="s">
        <v>38</v>
      </c>
      <c r="F4" s="47"/>
    </row>
    <row r="5" customFormat="false" ht="15" hidden="false" customHeight="false" outlineLevel="0" collapsed="false">
      <c r="A5" s="50" t="n">
        <v>46176</v>
      </c>
      <c r="B5" s="52" t="n">
        <v>24</v>
      </c>
      <c r="C5" s="52" t="n">
        <v>7.2</v>
      </c>
      <c r="D5" s="51" t="s">
        <v>100</v>
      </c>
      <c r="E5" s="51" t="s">
        <v>38</v>
      </c>
      <c r="F5" s="51"/>
    </row>
    <row r="6" customFormat="false" ht="15" hidden="false" customHeight="false" outlineLevel="0" collapsed="false">
      <c r="A6" s="46" t="n">
        <v>46181</v>
      </c>
      <c r="B6" s="48" t="n">
        <v>48.22</v>
      </c>
      <c r="C6" s="48" t="n">
        <v>14.47</v>
      </c>
      <c r="D6" s="47" t="s">
        <v>100</v>
      </c>
      <c r="E6" s="47" t="s">
        <v>38</v>
      </c>
      <c r="F6" s="47"/>
    </row>
    <row r="7" customFormat="false" ht="15" hidden="false" customHeight="false" outlineLevel="0" collapsed="false">
      <c r="A7" s="50"/>
      <c r="B7" s="52"/>
      <c r="C7" s="52"/>
      <c r="D7" s="51"/>
      <c r="E7" s="51"/>
      <c r="F7" s="51"/>
    </row>
    <row r="8" customFormat="false" ht="15" hidden="false" customHeight="false" outlineLevel="0" collapsed="false">
      <c r="A8" s="46"/>
      <c r="B8" s="48"/>
      <c r="C8" s="48"/>
      <c r="D8" s="47"/>
      <c r="E8" s="47"/>
      <c r="F8" s="47"/>
    </row>
    <row r="9" customFormat="false" ht="15" hidden="false" customHeight="false" outlineLevel="0" collapsed="false">
      <c r="A9" s="50"/>
      <c r="B9" s="52"/>
      <c r="C9" s="52"/>
      <c r="D9" s="51"/>
      <c r="E9" s="51"/>
      <c r="F9" s="51"/>
    </row>
    <row r="10" customFormat="false" ht="15" hidden="false" customHeight="false" outlineLevel="0" collapsed="false">
      <c r="A10" s="46"/>
      <c r="B10" s="48"/>
      <c r="C10" s="48"/>
      <c r="D10" s="47"/>
      <c r="E10" s="47"/>
      <c r="F10" s="47"/>
    </row>
    <row r="11" customFormat="false" ht="15" hidden="false" customHeight="false" outlineLevel="0" collapsed="false">
      <c r="A11" s="50"/>
      <c r="B11" s="52"/>
      <c r="C11" s="52"/>
      <c r="D11" s="51"/>
      <c r="E11" s="51"/>
      <c r="F11" s="51"/>
    </row>
    <row r="12" customFormat="false" ht="15" hidden="false" customHeight="false" outlineLevel="0" collapsed="false">
      <c r="A12" s="46"/>
      <c r="B12" s="48"/>
      <c r="C12" s="48"/>
      <c r="D12" s="47"/>
      <c r="E12" s="47"/>
      <c r="F12" s="47"/>
    </row>
    <row r="13" customFormat="false" ht="15" hidden="false" customHeight="false" outlineLevel="0" collapsed="false">
      <c r="A13" s="50"/>
      <c r="B13" s="52"/>
      <c r="C13" s="52"/>
      <c r="D13" s="51"/>
      <c r="E13" s="51"/>
      <c r="F13" s="51"/>
    </row>
    <row r="14" customFormat="false" ht="15" hidden="false" customHeight="false" outlineLevel="0" collapsed="false">
      <c r="A14" s="46"/>
      <c r="B14" s="48"/>
      <c r="C14" s="48"/>
      <c r="D14" s="47"/>
      <c r="E14" s="47"/>
      <c r="F14" s="47"/>
    </row>
    <row r="15" customFormat="false" ht="15" hidden="false" customHeight="false" outlineLevel="0" collapsed="false">
      <c r="A15" s="50"/>
      <c r="B15" s="52"/>
      <c r="C15" s="52"/>
      <c r="D15" s="51"/>
      <c r="E15" s="51"/>
      <c r="F15" s="51"/>
    </row>
    <row r="16" customFormat="false" ht="15" hidden="false" customHeight="false" outlineLevel="0" collapsed="false">
      <c r="A16" s="46"/>
      <c r="B16" s="48"/>
      <c r="C16" s="48"/>
      <c r="D16" s="47"/>
      <c r="E16" s="47"/>
      <c r="F16" s="47"/>
    </row>
    <row r="17" customFormat="false" ht="15" hidden="false" customHeight="false" outlineLevel="0" collapsed="false">
      <c r="A17" s="50"/>
      <c r="B17" s="52"/>
      <c r="C17" s="52"/>
      <c r="D17" s="51"/>
      <c r="E17" s="51"/>
      <c r="F17" s="51"/>
    </row>
    <row r="18" customFormat="false" ht="15" hidden="false" customHeight="false" outlineLevel="0" collapsed="false">
      <c r="A18" s="46"/>
      <c r="B18" s="48"/>
      <c r="C18" s="48"/>
      <c r="D18" s="47"/>
      <c r="E18" s="47"/>
      <c r="F18" s="47"/>
    </row>
    <row r="19" customFormat="false" ht="15" hidden="false" customHeight="false" outlineLevel="0" collapsed="false">
      <c r="A19" s="50"/>
      <c r="B19" s="52"/>
      <c r="C19" s="52"/>
      <c r="D19" s="51"/>
      <c r="E19" s="51"/>
      <c r="F19" s="51"/>
    </row>
    <row r="20" customFormat="false" ht="15" hidden="false" customHeight="false" outlineLevel="0" collapsed="false">
      <c r="A20" s="46"/>
      <c r="B20" s="48"/>
      <c r="C20" s="48"/>
      <c r="D20" s="47"/>
      <c r="E20" s="47"/>
      <c r="F20" s="47"/>
    </row>
    <row r="21" customFormat="false" ht="15" hidden="false" customHeight="false" outlineLevel="0" collapsed="false">
      <c r="A21" s="50"/>
      <c r="B21" s="52"/>
      <c r="C21" s="52"/>
      <c r="D21" s="51"/>
      <c r="E21" s="51"/>
      <c r="F21" s="51"/>
    </row>
    <row r="22" customFormat="false" ht="15" hidden="false" customHeight="false" outlineLevel="0" collapsed="false">
      <c r="A22" s="46"/>
      <c r="B22" s="48"/>
      <c r="C22" s="48"/>
      <c r="D22" s="47"/>
      <c r="E22" s="47"/>
      <c r="F22" s="47"/>
    </row>
    <row r="23" customFormat="false" ht="15" hidden="false" customHeight="false" outlineLevel="0" collapsed="false">
      <c r="A23" s="50"/>
      <c r="B23" s="52"/>
      <c r="C23" s="52"/>
      <c r="D23" s="51"/>
      <c r="E23" s="51"/>
      <c r="F23" s="51"/>
    </row>
    <row r="24" customFormat="false" ht="15" hidden="false" customHeight="false" outlineLevel="0" collapsed="false">
      <c r="A24" s="46"/>
      <c r="B24" s="48"/>
      <c r="C24" s="48"/>
      <c r="D24" s="47"/>
      <c r="E24" s="47"/>
      <c r="F24" s="47"/>
    </row>
    <row r="25" customFormat="false" ht="15" hidden="false" customHeight="false" outlineLevel="0" collapsed="false">
      <c r="A25" s="50"/>
      <c r="B25" s="52"/>
      <c r="C25" s="52"/>
      <c r="D25" s="51"/>
      <c r="E25" s="51"/>
      <c r="F25" s="51"/>
    </row>
    <row r="26" customFormat="false" ht="15" hidden="false" customHeight="false" outlineLevel="0" collapsed="false">
      <c r="A26" s="46"/>
      <c r="B26" s="48"/>
      <c r="C26" s="48"/>
      <c r="D26" s="47"/>
      <c r="E26" s="47"/>
      <c r="F26" s="47"/>
    </row>
    <row r="27" customFormat="false" ht="15" hidden="false" customHeight="false" outlineLevel="0" collapsed="false">
      <c r="A27" s="50"/>
      <c r="B27" s="52"/>
      <c r="C27" s="52"/>
      <c r="D27" s="51"/>
      <c r="E27" s="51"/>
      <c r="F27" s="51"/>
    </row>
    <row r="28" customFormat="false" ht="15" hidden="false" customHeight="false" outlineLevel="0" collapsed="false">
      <c r="A28" s="46"/>
      <c r="B28" s="48"/>
      <c r="C28" s="48"/>
      <c r="D28" s="47"/>
      <c r="E28" s="47"/>
      <c r="F28" s="47"/>
    </row>
    <row r="29" customFormat="false" ht="15" hidden="false" customHeight="false" outlineLevel="0" collapsed="false">
      <c r="A29" s="50"/>
      <c r="B29" s="52"/>
      <c r="C29" s="52"/>
      <c r="D29" s="51"/>
      <c r="E29" s="51"/>
      <c r="F29" s="51"/>
    </row>
    <row r="30" customFormat="false" ht="15" hidden="false" customHeight="false" outlineLevel="0" collapsed="false">
      <c r="A30" s="46"/>
      <c r="B30" s="48"/>
      <c r="C30" s="48"/>
      <c r="D30" s="47"/>
      <c r="E30" s="47"/>
      <c r="F30" s="47"/>
    </row>
    <row r="31" customFormat="false" ht="15" hidden="false" customHeight="false" outlineLevel="0" collapsed="false">
      <c r="A31" s="50"/>
      <c r="B31" s="52"/>
      <c r="C31" s="52"/>
      <c r="D31" s="51"/>
      <c r="E31" s="51"/>
      <c r="F31" s="51"/>
    </row>
    <row r="32" customFormat="false" ht="15" hidden="false" customHeight="false" outlineLevel="0" collapsed="false">
      <c r="A32" s="46"/>
      <c r="B32" s="48"/>
      <c r="C32" s="48"/>
      <c r="D32" s="47"/>
      <c r="E32" s="47"/>
      <c r="F32" s="47"/>
    </row>
    <row r="33" customFormat="false" ht="15" hidden="false" customHeight="false" outlineLevel="0" collapsed="false">
      <c r="A33" s="50"/>
      <c r="B33" s="52"/>
      <c r="C33" s="52"/>
      <c r="D33" s="51"/>
      <c r="E33" s="51"/>
      <c r="F33" s="51"/>
    </row>
    <row r="34" customFormat="false" ht="15" hidden="false" customHeight="false" outlineLevel="0" collapsed="false">
      <c r="A34" s="46"/>
      <c r="B34" s="48"/>
      <c r="C34" s="48"/>
      <c r="D34" s="47"/>
      <c r="E34" s="47"/>
      <c r="F34" s="47"/>
    </row>
    <row r="35" customFormat="false" ht="15" hidden="false" customHeight="false" outlineLevel="0" collapsed="false">
      <c r="A35" s="50"/>
      <c r="B35" s="52"/>
      <c r="C35" s="52"/>
      <c r="D35" s="51"/>
      <c r="E35" s="51"/>
      <c r="F35" s="51"/>
    </row>
    <row r="36" customFormat="false" ht="15" hidden="false" customHeight="false" outlineLevel="0" collapsed="false">
      <c r="A36" s="46"/>
      <c r="B36" s="48"/>
      <c r="C36" s="48"/>
      <c r="D36" s="47"/>
      <c r="E36" s="47"/>
      <c r="F36" s="47"/>
    </row>
    <row r="37" customFormat="false" ht="15" hidden="false" customHeight="false" outlineLevel="0" collapsed="false">
      <c r="A37" s="50"/>
      <c r="B37" s="52"/>
      <c r="C37" s="52"/>
      <c r="D37" s="51"/>
      <c r="E37" s="51"/>
      <c r="F37" s="51"/>
    </row>
    <row r="38" customFormat="false" ht="15" hidden="false" customHeight="false" outlineLevel="0" collapsed="false">
      <c r="A38" s="46"/>
      <c r="B38" s="48"/>
      <c r="C38" s="48"/>
      <c r="D38" s="47"/>
      <c r="E38" s="47"/>
      <c r="F38" s="47"/>
    </row>
    <row r="39" customFormat="false" ht="15" hidden="false" customHeight="false" outlineLevel="0" collapsed="false">
      <c r="A39" s="50"/>
      <c r="B39" s="52"/>
      <c r="C39" s="52"/>
      <c r="D39" s="51"/>
      <c r="E39" s="51"/>
      <c r="F39" s="51"/>
    </row>
    <row r="40" customFormat="false" ht="15" hidden="false" customHeight="false" outlineLevel="0" collapsed="false">
      <c r="A40" s="46"/>
      <c r="B40" s="48"/>
      <c r="C40" s="48"/>
      <c r="D40" s="47"/>
      <c r="E40" s="47"/>
      <c r="F40" s="47"/>
    </row>
    <row r="41" customFormat="false" ht="15" hidden="false" customHeight="false" outlineLevel="0" collapsed="false">
      <c r="A41" s="50"/>
      <c r="B41" s="52"/>
      <c r="C41" s="52"/>
      <c r="D41" s="51"/>
      <c r="E41" s="51"/>
      <c r="F41" s="51"/>
    </row>
    <row r="42" customFormat="false" ht="15" hidden="false" customHeight="false" outlineLevel="0" collapsed="false">
      <c r="A42" s="46"/>
      <c r="B42" s="48"/>
      <c r="C42" s="48"/>
      <c r="D42" s="47"/>
      <c r="E42" s="47"/>
      <c r="F42" s="47"/>
    </row>
    <row r="43" customFormat="false" ht="15" hidden="false" customHeight="false" outlineLevel="0" collapsed="false">
      <c r="A43" s="50"/>
      <c r="B43" s="52"/>
      <c r="C43" s="52"/>
      <c r="D43" s="51"/>
      <c r="E43" s="51"/>
      <c r="F43" s="51"/>
    </row>
    <row r="44" customFormat="false" ht="15" hidden="false" customHeight="false" outlineLevel="0" collapsed="false">
      <c r="A44" s="46"/>
      <c r="B44" s="48"/>
      <c r="C44" s="48"/>
      <c r="D44" s="47"/>
      <c r="E44" s="47"/>
      <c r="F44" s="47"/>
    </row>
    <row r="45" customFormat="false" ht="15" hidden="false" customHeight="false" outlineLevel="0" collapsed="false">
      <c r="A45" s="50"/>
      <c r="B45" s="52"/>
      <c r="C45" s="52"/>
      <c r="D45" s="51"/>
      <c r="E45" s="51"/>
      <c r="F45" s="51"/>
    </row>
    <row r="46" customFormat="false" ht="15" hidden="false" customHeight="false" outlineLevel="0" collapsed="false">
      <c r="A46" s="46"/>
      <c r="B46" s="48"/>
      <c r="C46" s="48"/>
      <c r="D46" s="47"/>
      <c r="E46" s="47"/>
      <c r="F46" s="47"/>
    </row>
    <row r="47" customFormat="false" ht="15" hidden="false" customHeight="false" outlineLevel="0" collapsed="false">
      <c r="A47" s="50"/>
      <c r="B47" s="52"/>
      <c r="C47" s="52"/>
      <c r="D47" s="51"/>
      <c r="E47" s="51"/>
      <c r="F47" s="51"/>
    </row>
    <row r="48" customFormat="false" ht="15" hidden="false" customHeight="false" outlineLevel="0" collapsed="false">
      <c r="A48" s="46"/>
      <c r="B48" s="48"/>
      <c r="C48" s="48"/>
      <c r="D48" s="47"/>
      <c r="E48" s="47"/>
      <c r="F48" s="47"/>
    </row>
    <row r="49" customFormat="false" ht="15" hidden="false" customHeight="false" outlineLevel="0" collapsed="false">
      <c r="A49" s="50"/>
      <c r="B49" s="52"/>
      <c r="C49" s="52"/>
      <c r="D49" s="51"/>
      <c r="E49" s="51"/>
      <c r="F49" s="51"/>
    </row>
    <row r="50" customFormat="false" ht="15" hidden="false" customHeight="false" outlineLevel="0" collapsed="false">
      <c r="A50" s="46"/>
      <c r="B50" s="48"/>
      <c r="C50" s="48"/>
      <c r="D50" s="47"/>
      <c r="E50" s="47"/>
      <c r="F50" s="47"/>
    </row>
    <row r="51" customFormat="false" ht="15" hidden="false" customHeight="false" outlineLevel="0" collapsed="false">
      <c r="A51" s="50"/>
      <c r="B51" s="52"/>
      <c r="C51" s="52"/>
      <c r="D51" s="51"/>
      <c r="E51" s="51"/>
      <c r="F51" s="51"/>
    </row>
    <row r="52" customFormat="false" ht="15" hidden="false" customHeight="false" outlineLevel="0" collapsed="false">
      <c r="A52" s="46"/>
      <c r="B52" s="48"/>
      <c r="C52" s="48"/>
      <c r="D52" s="47"/>
      <c r="E52" s="47"/>
      <c r="F52" s="47"/>
    </row>
    <row r="53" customFormat="false" ht="15" hidden="false" customHeight="false" outlineLevel="0" collapsed="false">
      <c r="A53" s="50"/>
      <c r="B53" s="52"/>
      <c r="C53" s="52"/>
      <c r="D53" s="51"/>
      <c r="E53" s="51"/>
      <c r="F53" s="51"/>
    </row>
    <row r="54" customFormat="false" ht="15" hidden="false" customHeight="false" outlineLevel="0" collapsed="false">
      <c r="A54" s="46"/>
      <c r="B54" s="48"/>
      <c r="C54" s="48"/>
      <c r="D54" s="47"/>
      <c r="E54" s="47"/>
      <c r="F54" s="47"/>
    </row>
    <row r="55" customFormat="false" ht="15" hidden="false" customHeight="false" outlineLevel="0" collapsed="false">
      <c r="A55" s="50"/>
      <c r="B55" s="52"/>
      <c r="C55" s="52"/>
      <c r="D55" s="51"/>
      <c r="E55" s="51"/>
      <c r="F55" s="51"/>
    </row>
    <row r="56" customFormat="false" ht="15" hidden="false" customHeight="false" outlineLevel="0" collapsed="false">
      <c r="A56" s="46"/>
      <c r="B56" s="48"/>
      <c r="C56" s="48"/>
      <c r="D56" s="47"/>
      <c r="E56" s="47"/>
      <c r="F56" s="47"/>
    </row>
    <row r="57" customFormat="false" ht="15" hidden="false" customHeight="false" outlineLevel="0" collapsed="false">
      <c r="A57" s="50"/>
      <c r="B57" s="52"/>
      <c r="C57" s="52"/>
      <c r="D57" s="51"/>
      <c r="E57" s="51"/>
      <c r="F57" s="51"/>
    </row>
    <row r="58" customFormat="false" ht="15" hidden="false" customHeight="false" outlineLevel="0" collapsed="false">
      <c r="A58" s="46"/>
      <c r="B58" s="48"/>
      <c r="C58" s="48"/>
      <c r="D58" s="47"/>
      <c r="E58" s="47"/>
      <c r="F58" s="47"/>
    </row>
    <row r="59" customFormat="false" ht="15" hidden="false" customHeight="false" outlineLevel="0" collapsed="false">
      <c r="A59" s="50"/>
      <c r="B59" s="52"/>
      <c r="C59" s="52"/>
      <c r="D59" s="51"/>
      <c r="E59" s="51"/>
      <c r="F59" s="51"/>
    </row>
    <row r="60" customFormat="false" ht="15" hidden="false" customHeight="false" outlineLevel="0" collapsed="false">
      <c r="A60" s="46"/>
      <c r="B60" s="48"/>
      <c r="C60" s="48"/>
      <c r="D60" s="47"/>
      <c r="E60" s="47"/>
      <c r="F60" s="47"/>
    </row>
    <row r="61" customFormat="false" ht="15" hidden="false" customHeight="false" outlineLevel="0" collapsed="false">
      <c r="A61" s="50"/>
      <c r="B61" s="52"/>
      <c r="C61" s="52"/>
      <c r="D61" s="51"/>
      <c r="E61" s="51"/>
      <c r="F61" s="51"/>
    </row>
    <row r="62" customFormat="false" ht="15" hidden="false" customHeight="false" outlineLevel="0" collapsed="false">
      <c r="A62" s="46"/>
      <c r="B62" s="48"/>
      <c r="C62" s="48"/>
      <c r="D62" s="47"/>
      <c r="E62" s="47"/>
      <c r="F62" s="47"/>
    </row>
    <row r="63" customFormat="false" ht="15" hidden="false" customHeight="false" outlineLevel="0" collapsed="false">
      <c r="A63" s="50"/>
      <c r="B63" s="52"/>
      <c r="C63" s="52"/>
      <c r="D63" s="51"/>
      <c r="E63" s="51"/>
      <c r="F63" s="51"/>
    </row>
    <row r="64" customFormat="false" ht="15" hidden="false" customHeight="false" outlineLevel="0" collapsed="false">
      <c r="A64" s="46"/>
      <c r="B64" s="48"/>
      <c r="C64" s="48"/>
      <c r="D64" s="47"/>
      <c r="E64" s="47"/>
      <c r="F64" s="47"/>
    </row>
    <row r="65" customFormat="false" ht="15" hidden="false" customHeight="false" outlineLevel="0" collapsed="false">
      <c r="A65" s="50"/>
      <c r="B65" s="52"/>
      <c r="C65" s="52"/>
      <c r="D65" s="51"/>
      <c r="E65" s="51"/>
      <c r="F65" s="51"/>
    </row>
    <row r="66" customFormat="false" ht="15" hidden="false" customHeight="false" outlineLevel="0" collapsed="false">
      <c r="A66" s="46"/>
      <c r="B66" s="48"/>
      <c r="C66" s="48"/>
      <c r="D66" s="47"/>
      <c r="E66" s="47"/>
      <c r="F66" s="47"/>
    </row>
    <row r="67" customFormat="false" ht="15" hidden="false" customHeight="false" outlineLevel="0" collapsed="false">
      <c r="A67" s="50"/>
      <c r="B67" s="52"/>
      <c r="C67" s="52"/>
      <c r="D67" s="51"/>
      <c r="E67" s="51"/>
      <c r="F67" s="51"/>
    </row>
    <row r="68" customFormat="false" ht="15" hidden="false" customHeight="false" outlineLevel="0" collapsed="false">
      <c r="A68" s="46"/>
      <c r="B68" s="48"/>
      <c r="C68" s="48"/>
      <c r="D68" s="47"/>
      <c r="E68" s="47"/>
      <c r="F68" s="47"/>
    </row>
    <row r="69" customFormat="false" ht="15" hidden="false" customHeight="false" outlineLevel="0" collapsed="false">
      <c r="A69" s="50"/>
      <c r="B69" s="52"/>
      <c r="C69" s="52"/>
      <c r="D69" s="51"/>
      <c r="E69" s="51"/>
      <c r="F69" s="51"/>
    </row>
    <row r="70" customFormat="false" ht="15" hidden="false" customHeight="false" outlineLevel="0" collapsed="false">
      <c r="A70" s="46"/>
      <c r="B70" s="48"/>
      <c r="C70" s="48"/>
      <c r="D70" s="47"/>
      <c r="E70" s="47"/>
      <c r="F70" s="47"/>
    </row>
    <row r="71" customFormat="false" ht="15" hidden="false" customHeight="false" outlineLevel="0" collapsed="false">
      <c r="A71" s="50"/>
      <c r="B71" s="52"/>
      <c r="C71" s="52"/>
      <c r="D71" s="51"/>
      <c r="E71" s="51"/>
      <c r="F71" s="51"/>
    </row>
    <row r="72" customFormat="false" ht="15" hidden="false" customHeight="false" outlineLevel="0" collapsed="false">
      <c r="A72" s="46"/>
      <c r="B72" s="48"/>
      <c r="C72" s="48"/>
      <c r="D72" s="47"/>
      <c r="E72" s="47"/>
      <c r="F72" s="47"/>
    </row>
    <row r="73" customFormat="false" ht="15" hidden="false" customHeight="false" outlineLevel="0" collapsed="false">
      <c r="A73" s="50"/>
      <c r="B73" s="52"/>
      <c r="C73" s="52"/>
      <c r="D73" s="51"/>
      <c r="E73" s="51"/>
      <c r="F73" s="51"/>
    </row>
    <row r="74" customFormat="false" ht="15" hidden="false" customHeight="false" outlineLevel="0" collapsed="false">
      <c r="A74" s="46"/>
      <c r="B74" s="48"/>
      <c r="C74" s="48"/>
      <c r="D74" s="47"/>
      <c r="E74" s="47"/>
      <c r="F74" s="47"/>
    </row>
    <row r="75" customFormat="false" ht="15" hidden="false" customHeight="false" outlineLevel="0" collapsed="false">
      <c r="A75" s="50"/>
      <c r="B75" s="52"/>
      <c r="C75" s="52"/>
      <c r="D75" s="51"/>
      <c r="E75" s="51"/>
      <c r="F75" s="51"/>
    </row>
    <row r="76" customFormat="false" ht="15" hidden="false" customHeight="false" outlineLevel="0" collapsed="false">
      <c r="A76" s="46"/>
      <c r="B76" s="48"/>
      <c r="C76" s="48"/>
      <c r="D76" s="47"/>
      <c r="E76" s="47"/>
      <c r="F76" s="47"/>
    </row>
    <row r="77" customFormat="false" ht="15" hidden="false" customHeight="false" outlineLevel="0" collapsed="false">
      <c r="A77" s="50"/>
      <c r="B77" s="52"/>
      <c r="C77" s="52"/>
      <c r="D77" s="51"/>
      <c r="E77" s="51"/>
      <c r="F77" s="51"/>
    </row>
    <row r="78" customFormat="false" ht="15" hidden="false" customHeight="false" outlineLevel="0" collapsed="false">
      <c r="A78" s="46"/>
      <c r="B78" s="48"/>
      <c r="C78" s="48"/>
      <c r="D78" s="47"/>
      <c r="E78" s="47"/>
      <c r="F78" s="47"/>
    </row>
    <row r="79" customFormat="false" ht="15" hidden="false" customHeight="false" outlineLevel="0" collapsed="false">
      <c r="A79" s="50"/>
      <c r="B79" s="52"/>
      <c r="C79" s="52"/>
      <c r="D79" s="51"/>
      <c r="E79" s="51"/>
      <c r="F79" s="51"/>
    </row>
    <row r="80" customFormat="false" ht="15" hidden="false" customHeight="false" outlineLevel="0" collapsed="false">
      <c r="A80" s="46"/>
      <c r="B80" s="48"/>
      <c r="C80" s="48"/>
      <c r="D80" s="47"/>
      <c r="E80" s="47"/>
      <c r="F80" s="47"/>
    </row>
    <row r="81" customFormat="false" ht="15" hidden="false" customHeight="false" outlineLevel="0" collapsed="false">
      <c r="A81" s="50"/>
      <c r="B81" s="52"/>
      <c r="C81" s="52"/>
      <c r="D81" s="51"/>
      <c r="E81" s="51"/>
      <c r="F81" s="51"/>
    </row>
    <row r="82" customFormat="false" ht="15" hidden="false" customHeight="false" outlineLevel="0" collapsed="false">
      <c r="A82" s="46"/>
      <c r="B82" s="48"/>
      <c r="C82" s="48"/>
      <c r="D82" s="47"/>
      <c r="E82" s="47"/>
      <c r="F82" s="47"/>
    </row>
    <row r="83" customFormat="false" ht="15" hidden="false" customHeight="false" outlineLevel="0" collapsed="false">
      <c r="A83" s="50"/>
      <c r="B83" s="52"/>
      <c r="C83" s="52"/>
      <c r="D83" s="51"/>
      <c r="E83" s="51"/>
      <c r="F83" s="51"/>
    </row>
    <row r="84" customFormat="false" ht="15" hidden="false" customHeight="false" outlineLevel="0" collapsed="false">
      <c r="A84" s="46"/>
      <c r="B84" s="48"/>
      <c r="C84" s="48"/>
      <c r="D84" s="47"/>
      <c r="E84" s="47"/>
      <c r="F84" s="47"/>
    </row>
    <row r="85" customFormat="false" ht="15" hidden="false" customHeight="false" outlineLevel="0" collapsed="false">
      <c r="A85" s="50"/>
      <c r="B85" s="52"/>
      <c r="C85" s="52"/>
      <c r="D85" s="51"/>
      <c r="E85" s="51"/>
      <c r="F85" s="51"/>
    </row>
    <row r="86" customFormat="false" ht="15" hidden="false" customHeight="false" outlineLevel="0" collapsed="false">
      <c r="A86" s="46"/>
      <c r="B86" s="48"/>
      <c r="C86" s="48"/>
      <c r="D86" s="47"/>
      <c r="E86" s="47"/>
      <c r="F86" s="47"/>
    </row>
    <row r="87" customFormat="false" ht="15" hidden="false" customHeight="false" outlineLevel="0" collapsed="false">
      <c r="A87" s="50"/>
      <c r="B87" s="52"/>
      <c r="C87" s="52"/>
      <c r="D87" s="51"/>
      <c r="E87" s="51"/>
      <c r="F87" s="51"/>
    </row>
    <row r="88" customFormat="false" ht="15" hidden="false" customHeight="false" outlineLevel="0" collapsed="false">
      <c r="A88" s="46"/>
      <c r="B88" s="48"/>
      <c r="C88" s="48"/>
      <c r="D88" s="47"/>
      <c r="E88" s="47"/>
      <c r="F88" s="47"/>
    </row>
    <row r="89" customFormat="false" ht="15" hidden="false" customHeight="false" outlineLevel="0" collapsed="false">
      <c r="A89" s="50"/>
      <c r="B89" s="52"/>
      <c r="C89" s="52"/>
      <c r="D89" s="51"/>
      <c r="E89" s="51"/>
      <c r="F89" s="51"/>
    </row>
    <row r="90" customFormat="false" ht="15" hidden="false" customHeight="false" outlineLevel="0" collapsed="false">
      <c r="A90" s="46"/>
      <c r="B90" s="48"/>
      <c r="C90" s="48"/>
      <c r="D90" s="47"/>
      <c r="E90" s="47"/>
      <c r="F90" s="47"/>
    </row>
    <row r="91" customFormat="false" ht="15" hidden="false" customHeight="false" outlineLevel="0" collapsed="false">
      <c r="A91" s="50"/>
      <c r="B91" s="52"/>
      <c r="C91" s="52"/>
      <c r="D91" s="51"/>
      <c r="E91" s="51"/>
      <c r="F91" s="51"/>
    </row>
    <row r="92" customFormat="false" ht="15" hidden="false" customHeight="false" outlineLevel="0" collapsed="false">
      <c r="A92" s="46"/>
      <c r="B92" s="48"/>
      <c r="C92" s="48"/>
      <c r="D92" s="47"/>
      <c r="E92" s="47"/>
      <c r="F92" s="47"/>
    </row>
    <row r="93" customFormat="false" ht="15" hidden="false" customHeight="false" outlineLevel="0" collapsed="false">
      <c r="A93" s="50"/>
      <c r="B93" s="52"/>
      <c r="C93" s="52"/>
      <c r="D93" s="51"/>
      <c r="E93" s="51"/>
      <c r="F93" s="51"/>
    </row>
    <row r="94" customFormat="false" ht="15" hidden="false" customHeight="false" outlineLevel="0" collapsed="false">
      <c r="A94" s="46"/>
      <c r="B94" s="48"/>
      <c r="C94" s="48"/>
      <c r="D94" s="47"/>
      <c r="E94" s="47"/>
      <c r="F94" s="47"/>
    </row>
    <row r="95" customFormat="false" ht="15" hidden="false" customHeight="false" outlineLevel="0" collapsed="false">
      <c r="A95" s="50"/>
      <c r="B95" s="52"/>
      <c r="C95" s="52"/>
      <c r="D95" s="51"/>
      <c r="E95" s="51"/>
      <c r="F95" s="51"/>
    </row>
    <row r="96" customFormat="false" ht="15" hidden="false" customHeight="false" outlineLevel="0" collapsed="false">
      <c r="A96" s="46"/>
      <c r="B96" s="48"/>
      <c r="C96" s="48"/>
      <c r="D96" s="47"/>
      <c r="E96" s="47"/>
      <c r="F96" s="47"/>
    </row>
    <row r="97" customFormat="false" ht="15" hidden="false" customHeight="false" outlineLevel="0" collapsed="false">
      <c r="A97" s="50"/>
      <c r="B97" s="52"/>
      <c r="C97" s="52"/>
      <c r="D97" s="51"/>
      <c r="E97" s="51"/>
      <c r="F97" s="51"/>
    </row>
    <row r="98" customFormat="false" ht="15" hidden="false" customHeight="false" outlineLevel="0" collapsed="false">
      <c r="A98" s="46"/>
      <c r="B98" s="48"/>
      <c r="C98" s="48"/>
      <c r="D98" s="47"/>
      <c r="E98" s="47"/>
      <c r="F98" s="47"/>
    </row>
    <row r="99" customFormat="false" ht="15" hidden="false" customHeight="false" outlineLevel="0" collapsed="false">
      <c r="A99" s="50"/>
      <c r="B99" s="52"/>
      <c r="C99" s="52"/>
      <c r="D99" s="51"/>
      <c r="E99" s="51"/>
      <c r="F99" s="51"/>
    </row>
    <row r="100" customFormat="false" ht="15" hidden="false" customHeight="false" outlineLevel="0" collapsed="false">
      <c r="A100" s="46"/>
      <c r="B100" s="48"/>
      <c r="C100" s="48"/>
      <c r="D100" s="47"/>
      <c r="E100" s="47"/>
      <c r="F100" s="47"/>
    </row>
    <row r="101" customFormat="false" ht="15" hidden="false" customHeight="false" outlineLevel="0" collapsed="false">
      <c r="A101" s="50"/>
      <c r="B101" s="52"/>
      <c r="C101" s="52"/>
      <c r="D101" s="51"/>
      <c r="E101" s="51"/>
      <c r="F101" s="51"/>
    </row>
    <row r="102" customFormat="false" ht="15" hidden="false" customHeight="false" outlineLevel="0" collapsed="false">
      <c r="A102" s="46"/>
      <c r="B102" s="48"/>
      <c r="C102" s="48"/>
      <c r="D102" s="47"/>
      <c r="E102" s="47"/>
      <c r="F102" s="47"/>
    </row>
    <row r="103" customFormat="false" ht="15" hidden="false" customHeight="false" outlineLevel="0" collapsed="false">
      <c r="A103" s="50"/>
      <c r="B103" s="52"/>
      <c r="C103" s="52"/>
      <c r="D103" s="51"/>
      <c r="E103" s="51"/>
      <c r="F103" s="51"/>
    </row>
    <row r="104" customFormat="false" ht="15" hidden="false" customHeight="false" outlineLevel="0" collapsed="false">
      <c r="A104" s="46"/>
      <c r="B104" s="48"/>
      <c r="C104" s="48"/>
      <c r="D104" s="47"/>
      <c r="E104" s="47"/>
      <c r="F104" s="47"/>
    </row>
    <row r="105" customFormat="false" ht="15" hidden="false" customHeight="false" outlineLevel="0" collapsed="false">
      <c r="A105" s="50"/>
      <c r="B105" s="52"/>
      <c r="C105" s="52"/>
      <c r="D105" s="51"/>
      <c r="E105" s="51"/>
      <c r="F105" s="51"/>
    </row>
    <row r="106" customFormat="false" ht="15" hidden="false" customHeight="false" outlineLevel="0" collapsed="false">
      <c r="A106" s="46"/>
      <c r="B106" s="48"/>
      <c r="C106" s="48"/>
      <c r="D106" s="47"/>
      <c r="E106" s="47"/>
      <c r="F106" s="47"/>
    </row>
    <row r="107" customFormat="false" ht="15" hidden="false" customHeight="false" outlineLevel="0" collapsed="false">
      <c r="B107" s="54" t="s">
        <v>101</v>
      </c>
      <c r="C107" s="59" t="n">
        <f aca="false">SUM(C4:C106)</f>
        <v>122.92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28"/>
  </cols>
  <sheetData>
    <row r="1" customFormat="false" ht="30" hidden="false" customHeight="true" outlineLevel="0" collapsed="false">
      <c r="A1" s="35" t="s">
        <v>102</v>
      </c>
      <c r="B1" s="35"/>
      <c r="C1" s="35"/>
      <c r="D1" s="35"/>
      <c r="E1" s="35"/>
      <c r="F1" s="35"/>
    </row>
    <row r="2" customFormat="false" ht="15" hidden="false" customHeight="false" outlineLevel="0" collapsed="false">
      <c r="A2" s="56" t="s">
        <v>103</v>
      </c>
      <c r="B2" s="56"/>
      <c r="C2" s="56"/>
      <c r="D2" s="56"/>
      <c r="E2" s="56"/>
      <c r="F2" s="56"/>
    </row>
    <row r="3" customFormat="false" ht="15" hidden="false" customHeight="false" outlineLevel="0" collapsed="false">
      <c r="A3" s="37" t="s">
        <v>57</v>
      </c>
      <c r="B3" s="37" t="s">
        <v>60</v>
      </c>
      <c r="C3" s="37" t="s">
        <v>98</v>
      </c>
      <c r="D3" s="37" t="s">
        <v>104</v>
      </c>
      <c r="E3" s="37" t="s">
        <v>62</v>
      </c>
      <c r="F3" s="37" t="s">
        <v>63</v>
      </c>
    </row>
    <row r="4" customFormat="false" ht="15" hidden="false" customHeight="false" outlineLevel="0" collapsed="false">
      <c r="A4" s="46" t="n">
        <v>46188</v>
      </c>
      <c r="B4" s="48" t="n">
        <v>800</v>
      </c>
      <c r="C4" s="47" t="s">
        <v>105</v>
      </c>
      <c r="D4" s="47" t="s">
        <v>106</v>
      </c>
      <c r="E4" s="47" t="s">
        <v>107</v>
      </c>
      <c r="F4" s="47" t="s">
        <v>108</v>
      </c>
    </row>
    <row r="5" customFormat="false" ht="15" hidden="false" customHeight="false" outlineLevel="0" collapsed="false">
      <c r="A5" s="50"/>
      <c r="B5" s="52"/>
      <c r="C5" s="51"/>
      <c r="D5" s="51"/>
      <c r="E5" s="51"/>
      <c r="F5" s="51"/>
    </row>
    <row r="6" customFormat="false" ht="15" hidden="false" customHeight="false" outlineLevel="0" collapsed="false">
      <c r="A6" s="46"/>
      <c r="B6" s="48"/>
      <c r="C6" s="47"/>
      <c r="D6" s="47"/>
      <c r="E6" s="47"/>
      <c r="F6" s="47"/>
    </row>
    <row r="7" customFormat="false" ht="15" hidden="false" customHeight="false" outlineLevel="0" collapsed="false">
      <c r="A7" s="50"/>
      <c r="B7" s="52"/>
      <c r="C7" s="51"/>
      <c r="D7" s="51"/>
      <c r="E7" s="51"/>
      <c r="F7" s="51"/>
    </row>
    <row r="8" customFormat="false" ht="15" hidden="false" customHeight="false" outlineLevel="0" collapsed="false">
      <c r="A8" s="46"/>
      <c r="B8" s="48"/>
      <c r="C8" s="47"/>
      <c r="D8" s="47"/>
      <c r="E8" s="47"/>
      <c r="F8" s="47"/>
    </row>
    <row r="9" customFormat="false" ht="15" hidden="false" customHeight="false" outlineLevel="0" collapsed="false">
      <c r="A9" s="50"/>
      <c r="B9" s="52"/>
      <c r="C9" s="51"/>
      <c r="D9" s="51"/>
      <c r="E9" s="51"/>
      <c r="F9" s="51"/>
    </row>
    <row r="10" customFormat="false" ht="15" hidden="false" customHeight="false" outlineLevel="0" collapsed="false">
      <c r="A10" s="46"/>
      <c r="B10" s="48"/>
      <c r="C10" s="47"/>
      <c r="D10" s="47"/>
      <c r="E10" s="47"/>
      <c r="F10" s="47"/>
    </row>
    <row r="11" customFormat="false" ht="15" hidden="false" customHeight="false" outlineLevel="0" collapsed="false">
      <c r="A11" s="50"/>
      <c r="B11" s="52"/>
      <c r="C11" s="51"/>
      <c r="D11" s="51"/>
      <c r="E11" s="51"/>
      <c r="F11" s="51"/>
    </row>
    <row r="12" customFormat="false" ht="15" hidden="false" customHeight="false" outlineLevel="0" collapsed="false">
      <c r="A12" s="46"/>
      <c r="B12" s="48"/>
      <c r="C12" s="47"/>
      <c r="D12" s="47"/>
      <c r="E12" s="47"/>
      <c r="F12" s="47"/>
    </row>
    <row r="13" customFormat="false" ht="15" hidden="false" customHeight="false" outlineLevel="0" collapsed="false">
      <c r="A13" s="50"/>
      <c r="B13" s="52"/>
      <c r="C13" s="51"/>
      <c r="D13" s="51"/>
      <c r="E13" s="51"/>
      <c r="F13" s="51"/>
    </row>
    <row r="14" customFormat="false" ht="15" hidden="false" customHeight="false" outlineLevel="0" collapsed="false">
      <c r="A14" s="46"/>
      <c r="B14" s="48"/>
      <c r="C14" s="47"/>
      <c r="D14" s="47"/>
      <c r="E14" s="47"/>
      <c r="F14" s="47"/>
    </row>
    <row r="15" customFormat="false" ht="15" hidden="false" customHeight="false" outlineLevel="0" collapsed="false">
      <c r="A15" s="50"/>
      <c r="B15" s="52"/>
      <c r="C15" s="51"/>
      <c r="D15" s="51"/>
      <c r="E15" s="51"/>
      <c r="F15" s="51"/>
    </row>
    <row r="16" customFormat="false" ht="15" hidden="false" customHeight="false" outlineLevel="0" collapsed="false">
      <c r="A16" s="46"/>
      <c r="B16" s="48"/>
      <c r="C16" s="47"/>
      <c r="D16" s="47"/>
      <c r="E16" s="47"/>
      <c r="F16" s="47"/>
    </row>
    <row r="17" customFormat="false" ht="15" hidden="false" customHeight="false" outlineLevel="0" collapsed="false">
      <c r="A17" s="50"/>
      <c r="B17" s="52"/>
      <c r="C17" s="51"/>
      <c r="D17" s="51"/>
      <c r="E17" s="51"/>
      <c r="F17" s="51"/>
    </row>
    <row r="18" customFormat="false" ht="15" hidden="false" customHeight="false" outlineLevel="0" collapsed="false">
      <c r="A18" s="46"/>
      <c r="B18" s="48"/>
      <c r="C18" s="47"/>
      <c r="D18" s="47"/>
      <c r="E18" s="47"/>
      <c r="F18" s="47"/>
    </row>
    <row r="19" customFormat="false" ht="15" hidden="false" customHeight="false" outlineLevel="0" collapsed="false">
      <c r="A19" s="50"/>
      <c r="B19" s="52"/>
      <c r="C19" s="51"/>
      <c r="D19" s="51"/>
      <c r="E19" s="51"/>
      <c r="F19" s="51"/>
    </row>
    <row r="20" customFormat="false" ht="15" hidden="false" customHeight="false" outlineLevel="0" collapsed="false">
      <c r="A20" s="46"/>
      <c r="B20" s="48"/>
      <c r="C20" s="47"/>
      <c r="D20" s="47"/>
      <c r="E20" s="47"/>
      <c r="F20" s="47"/>
    </row>
    <row r="21" customFormat="false" ht="15" hidden="false" customHeight="false" outlineLevel="0" collapsed="false">
      <c r="A21" s="50"/>
      <c r="B21" s="52"/>
      <c r="C21" s="51"/>
      <c r="D21" s="51"/>
      <c r="E21" s="51"/>
      <c r="F21" s="51"/>
    </row>
    <row r="22" customFormat="false" ht="15" hidden="false" customHeight="false" outlineLevel="0" collapsed="false">
      <c r="A22" s="46"/>
      <c r="B22" s="48"/>
      <c r="C22" s="47"/>
      <c r="D22" s="47"/>
      <c r="E22" s="47"/>
      <c r="F22" s="47"/>
    </row>
    <row r="23" customFormat="false" ht="15" hidden="false" customHeight="false" outlineLevel="0" collapsed="false">
      <c r="A23" s="50"/>
      <c r="B23" s="52"/>
      <c r="C23" s="51"/>
      <c r="D23" s="51"/>
      <c r="E23" s="51"/>
      <c r="F23" s="51"/>
    </row>
    <row r="24" customFormat="false" ht="15" hidden="false" customHeight="false" outlineLevel="0" collapsed="false">
      <c r="A24" s="46"/>
      <c r="B24" s="48"/>
      <c r="C24" s="47"/>
      <c r="D24" s="47"/>
      <c r="E24" s="47"/>
      <c r="F24" s="47"/>
    </row>
    <row r="25" customFormat="false" ht="15" hidden="false" customHeight="false" outlineLevel="0" collapsed="false">
      <c r="A25" s="50"/>
      <c r="B25" s="52"/>
      <c r="C25" s="51"/>
      <c r="D25" s="51"/>
      <c r="E25" s="51"/>
      <c r="F25" s="51"/>
    </row>
    <row r="26" customFormat="false" ht="15" hidden="false" customHeight="false" outlineLevel="0" collapsed="false">
      <c r="A26" s="46"/>
      <c r="B26" s="48"/>
      <c r="C26" s="47"/>
      <c r="D26" s="47"/>
      <c r="E26" s="47"/>
      <c r="F26" s="47"/>
    </row>
    <row r="27" customFormat="false" ht="15" hidden="false" customHeight="false" outlineLevel="0" collapsed="false">
      <c r="A27" s="50"/>
      <c r="B27" s="52"/>
      <c r="C27" s="51"/>
      <c r="D27" s="51"/>
      <c r="E27" s="51"/>
      <c r="F27" s="51"/>
    </row>
    <row r="28" customFormat="false" ht="15" hidden="false" customHeight="false" outlineLevel="0" collapsed="false">
      <c r="A28" s="46"/>
      <c r="B28" s="48"/>
      <c r="C28" s="47"/>
      <c r="D28" s="47"/>
      <c r="E28" s="47"/>
      <c r="F28" s="47"/>
    </row>
    <row r="29" customFormat="false" ht="15" hidden="false" customHeight="false" outlineLevel="0" collapsed="false">
      <c r="A29" s="50"/>
      <c r="B29" s="52"/>
      <c r="C29" s="51"/>
      <c r="D29" s="51"/>
      <c r="E29" s="51"/>
      <c r="F29" s="51"/>
    </row>
    <row r="30" customFormat="false" ht="15" hidden="false" customHeight="false" outlineLevel="0" collapsed="false">
      <c r="A30" s="46"/>
      <c r="B30" s="48"/>
      <c r="C30" s="47"/>
      <c r="D30" s="47"/>
      <c r="E30" s="47"/>
      <c r="F30" s="47"/>
    </row>
    <row r="31" customFormat="false" ht="15" hidden="false" customHeight="false" outlineLevel="0" collapsed="false">
      <c r="A31" s="50"/>
      <c r="B31" s="52"/>
      <c r="C31" s="51"/>
      <c r="D31" s="51"/>
      <c r="E31" s="51"/>
      <c r="F31" s="51"/>
    </row>
    <row r="32" customFormat="false" ht="15" hidden="false" customHeight="false" outlineLevel="0" collapsed="false">
      <c r="A32" s="46"/>
      <c r="B32" s="48"/>
      <c r="C32" s="47"/>
      <c r="D32" s="47"/>
      <c r="E32" s="47"/>
      <c r="F32" s="47"/>
    </row>
    <row r="33" customFormat="false" ht="15" hidden="false" customHeight="false" outlineLevel="0" collapsed="false">
      <c r="A33" s="50"/>
      <c r="B33" s="52"/>
      <c r="C33" s="51"/>
      <c r="D33" s="51"/>
      <c r="E33" s="51"/>
      <c r="F33" s="51"/>
    </row>
    <row r="34" customFormat="false" ht="15" hidden="false" customHeight="false" outlineLevel="0" collapsed="false">
      <c r="A34" s="46"/>
      <c r="B34" s="48"/>
      <c r="C34" s="47"/>
      <c r="D34" s="47"/>
      <c r="E34" s="47"/>
      <c r="F34" s="47"/>
    </row>
    <row r="35" customFormat="false" ht="15" hidden="false" customHeight="false" outlineLevel="0" collapsed="false">
      <c r="A35" s="50"/>
      <c r="B35" s="52"/>
      <c r="C35" s="51"/>
      <c r="D35" s="51"/>
      <c r="E35" s="51"/>
      <c r="F35" s="51"/>
    </row>
    <row r="36" customFormat="false" ht="15" hidden="false" customHeight="false" outlineLevel="0" collapsed="false">
      <c r="A36" s="46"/>
      <c r="B36" s="48"/>
      <c r="C36" s="47"/>
      <c r="D36" s="47"/>
      <c r="E36" s="47"/>
      <c r="F36" s="47"/>
    </row>
    <row r="37" customFormat="false" ht="15" hidden="false" customHeight="false" outlineLevel="0" collapsed="false">
      <c r="A37" s="50"/>
      <c r="B37" s="52"/>
      <c r="C37" s="51"/>
      <c r="D37" s="51"/>
      <c r="E37" s="51"/>
      <c r="F37" s="51"/>
    </row>
    <row r="38" customFormat="false" ht="15" hidden="false" customHeight="false" outlineLevel="0" collapsed="false">
      <c r="A38" s="46"/>
      <c r="B38" s="48"/>
      <c r="C38" s="47"/>
      <c r="D38" s="47"/>
      <c r="E38" s="47"/>
      <c r="F38" s="47"/>
    </row>
    <row r="39" customFormat="false" ht="15" hidden="false" customHeight="false" outlineLevel="0" collapsed="false">
      <c r="A39" s="50"/>
      <c r="B39" s="52"/>
      <c r="C39" s="51"/>
      <c r="D39" s="51"/>
      <c r="E39" s="51"/>
      <c r="F39" s="51"/>
    </row>
    <row r="40" customFormat="false" ht="15" hidden="false" customHeight="false" outlineLevel="0" collapsed="false">
      <c r="A40" s="46"/>
      <c r="B40" s="48"/>
      <c r="C40" s="47"/>
      <c r="D40" s="47"/>
      <c r="E40" s="47"/>
      <c r="F40" s="47"/>
    </row>
    <row r="41" customFormat="false" ht="15" hidden="false" customHeight="false" outlineLevel="0" collapsed="false">
      <c r="A41" s="50"/>
      <c r="B41" s="52"/>
      <c r="C41" s="51"/>
      <c r="D41" s="51"/>
      <c r="E41" s="51"/>
      <c r="F41" s="51"/>
    </row>
    <row r="42" customFormat="false" ht="15" hidden="false" customHeight="false" outlineLevel="0" collapsed="false">
      <c r="A42" s="46"/>
      <c r="B42" s="48"/>
      <c r="C42" s="47"/>
      <c r="D42" s="47"/>
      <c r="E42" s="47"/>
      <c r="F42" s="47"/>
    </row>
    <row r="43" customFormat="false" ht="15" hidden="false" customHeight="false" outlineLevel="0" collapsed="false">
      <c r="A43" s="50"/>
      <c r="B43" s="52"/>
      <c r="C43" s="51"/>
      <c r="D43" s="51"/>
      <c r="E43" s="51"/>
      <c r="F43" s="51"/>
    </row>
    <row r="44" customFormat="false" ht="15" hidden="false" customHeight="false" outlineLevel="0" collapsed="false">
      <c r="A44" s="46"/>
      <c r="B44" s="48"/>
      <c r="C44" s="47"/>
      <c r="D44" s="47"/>
      <c r="E44" s="47"/>
      <c r="F44" s="47"/>
    </row>
    <row r="45" customFormat="false" ht="15" hidden="false" customHeight="false" outlineLevel="0" collapsed="false">
      <c r="A45" s="50"/>
      <c r="B45" s="52"/>
      <c r="C45" s="51"/>
      <c r="D45" s="51"/>
      <c r="E45" s="51"/>
      <c r="F45" s="51"/>
    </row>
    <row r="46" customFormat="false" ht="15" hidden="false" customHeight="false" outlineLevel="0" collapsed="false">
      <c r="A46" s="46"/>
      <c r="B46" s="48"/>
      <c r="C46" s="47"/>
      <c r="D46" s="47"/>
      <c r="E46" s="47"/>
      <c r="F46" s="47"/>
    </row>
    <row r="47" customFormat="false" ht="15" hidden="false" customHeight="false" outlineLevel="0" collapsed="false">
      <c r="A47" s="50"/>
      <c r="B47" s="52"/>
      <c r="C47" s="51"/>
      <c r="D47" s="51"/>
      <c r="E47" s="51"/>
      <c r="F47" s="51"/>
    </row>
    <row r="48" customFormat="false" ht="15" hidden="false" customHeight="false" outlineLevel="0" collapsed="false">
      <c r="A48" s="46"/>
      <c r="B48" s="48"/>
      <c r="C48" s="47"/>
      <c r="D48" s="47"/>
      <c r="E48" s="47"/>
      <c r="F48" s="47"/>
    </row>
    <row r="49" customFormat="false" ht="15" hidden="false" customHeight="false" outlineLevel="0" collapsed="false">
      <c r="A49" s="50"/>
      <c r="B49" s="52"/>
      <c r="C49" s="51"/>
      <c r="D49" s="51"/>
      <c r="E49" s="51"/>
      <c r="F49" s="51"/>
    </row>
    <row r="50" customFormat="false" ht="15" hidden="false" customHeight="false" outlineLevel="0" collapsed="false">
      <c r="A50" s="46"/>
      <c r="B50" s="48"/>
      <c r="C50" s="47"/>
      <c r="D50" s="47"/>
      <c r="E50" s="47"/>
      <c r="F50" s="47"/>
    </row>
    <row r="51" customFormat="false" ht="15" hidden="false" customHeight="false" outlineLevel="0" collapsed="false">
      <c r="A51" s="50"/>
      <c r="B51" s="52"/>
      <c r="C51" s="51"/>
      <c r="D51" s="51"/>
      <c r="E51" s="51"/>
      <c r="F51" s="51"/>
    </row>
    <row r="52" customFormat="false" ht="15" hidden="false" customHeight="false" outlineLevel="0" collapsed="false">
      <c r="A52" s="46"/>
      <c r="B52" s="48"/>
      <c r="C52" s="47"/>
      <c r="D52" s="47"/>
      <c r="E52" s="47"/>
      <c r="F52" s="47"/>
    </row>
    <row r="53" customFormat="false" ht="15" hidden="false" customHeight="false" outlineLevel="0" collapsed="false">
      <c r="A53" s="50"/>
      <c r="B53" s="52"/>
      <c r="C53" s="51"/>
      <c r="D53" s="51"/>
      <c r="E53" s="51"/>
      <c r="F53" s="51"/>
    </row>
    <row r="54" customFormat="false" ht="15" hidden="false" customHeight="false" outlineLevel="0" collapsed="false">
      <c r="A54" s="46"/>
      <c r="B54" s="48"/>
      <c r="C54" s="47"/>
      <c r="D54" s="47"/>
      <c r="E54" s="47"/>
      <c r="F54" s="47"/>
    </row>
    <row r="55" customFormat="false" ht="15" hidden="false" customHeight="false" outlineLevel="0" collapsed="false">
      <c r="A55" s="50"/>
      <c r="B55" s="52"/>
      <c r="C55" s="51"/>
      <c r="D55" s="51"/>
      <c r="E55" s="51"/>
      <c r="F55" s="51"/>
    </row>
    <row r="56" customFormat="false" ht="15" hidden="false" customHeight="false" outlineLevel="0" collapsed="false">
      <c r="A56" s="46"/>
      <c r="B56" s="48"/>
      <c r="C56" s="47"/>
      <c r="D56" s="47"/>
      <c r="E56" s="47"/>
      <c r="F56" s="47"/>
    </row>
    <row r="57" customFormat="false" ht="15" hidden="false" customHeight="false" outlineLevel="0" collapsed="false">
      <c r="A57" s="50"/>
      <c r="B57" s="52"/>
      <c r="C57" s="51"/>
      <c r="D57" s="51"/>
      <c r="E57" s="51"/>
      <c r="F57" s="51"/>
    </row>
    <row r="58" customFormat="false" ht="15" hidden="false" customHeight="false" outlineLevel="0" collapsed="false">
      <c r="A58" s="46"/>
      <c r="B58" s="48"/>
      <c r="C58" s="47"/>
      <c r="D58" s="47"/>
      <c r="E58" s="47"/>
      <c r="F58" s="47"/>
    </row>
    <row r="59" customFormat="false" ht="15" hidden="false" customHeight="false" outlineLevel="0" collapsed="false">
      <c r="A59" s="50"/>
      <c r="B59" s="52"/>
      <c r="C59" s="51"/>
      <c r="D59" s="51"/>
      <c r="E59" s="51"/>
      <c r="F59" s="51"/>
    </row>
    <row r="60" customFormat="false" ht="15" hidden="false" customHeight="false" outlineLevel="0" collapsed="false">
      <c r="A60" s="46"/>
      <c r="B60" s="48"/>
      <c r="C60" s="47"/>
      <c r="D60" s="47"/>
      <c r="E60" s="47"/>
      <c r="F60" s="47"/>
    </row>
    <row r="61" customFormat="false" ht="15" hidden="false" customHeight="false" outlineLevel="0" collapsed="false">
      <c r="A61" s="50"/>
      <c r="B61" s="52"/>
      <c r="C61" s="51"/>
      <c r="D61" s="51"/>
      <c r="E61" s="51"/>
      <c r="F61" s="51"/>
    </row>
    <row r="62" customFormat="false" ht="15" hidden="false" customHeight="false" outlineLevel="0" collapsed="false">
      <c r="A62" s="46"/>
      <c r="B62" s="48"/>
      <c r="C62" s="47"/>
      <c r="D62" s="47"/>
      <c r="E62" s="47"/>
      <c r="F62" s="47"/>
    </row>
    <row r="63" customFormat="false" ht="15" hidden="false" customHeight="false" outlineLevel="0" collapsed="false">
      <c r="A63" s="50"/>
      <c r="B63" s="52"/>
      <c r="C63" s="51"/>
      <c r="D63" s="51"/>
      <c r="E63" s="51"/>
      <c r="F63" s="51"/>
    </row>
    <row r="64" customFormat="false" ht="15" hidden="false" customHeight="false" outlineLevel="0" collapsed="false">
      <c r="A64" s="46"/>
      <c r="B64" s="48"/>
      <c r="C64" s="47"/>
      <c r="D64" s="47"/>
      <c r="E64" s="47"/>
      <c r="F64" s="47"/>
    </row>
    <row r="65" customFormat="false" ht="15" hidden="false" customHeight="false" outlineLevel="0" collapsed="false">
      <c r="A65" s="50"/>
      <c r="B65" s="52"/>
      <c r="C65" s="51"/>
      <c r="D65" s="51"/>
      <c r="E65" s="51"/>
      <c r="F65" s="51"/>
    </row>
    <row r="66" customFormat="false" ht="15" hidden="false" customHeight="false" outlineLevel="0" collapsed="false">
      <c r="A66" s="46"/>
      <c r="B66" s="48"/>
      <c r="C66" s="47"/>
      <c r="D66" s="47"/>
      <c r="E66" s="47"/>
      <c r="F66" s="47"/>
    </row>
    <row r="67" customFormat="false" ht="15" hidden="false" customHeight="false" outlineLevel="0" collapsed="false">
      <c r="A67" s="50"/>
      <c r="B67" s="52"/>
      <c r="C67" s="51"/>
      <c r="D67" s="51"/>
      <c r="E67" s="51"/>
      <c r="F67" s="51"/>
    </row>
    <row r="68" customFormat="false" ht="15" hidden="false" customHeight="false" outlineLevel="0" collapsed="false">
      <c r="A68" s="46"/>
      <c r="B68" s="48"/>
      <c r="C68" s="47"/>
      <c r="D68" s="47"/>
      <c r="E68" s="47"/>
      <c r="F68" s="47"/>
    </row>
    <row r="69" customFormat="false" ht="15" hidden="false" customHeight="false" outlineLevel="0" collapsed="false">
      <c r="A69" s="50"/>
      <c r="B69" s="52"/>
      <c r="C69" s="51"/>
      <c r="D69" s="51"/>
      <c r="E69" s="51"/>
      <c r="F69" s="51"/>
    </row>
    <row r="70" customFormat="false" ht="15" hidden="false" customHeight="false" outlineLevel="0" collapsed="false">
      <c r="A70" s="46"/>
      <c r="B70" s="48"/>
      <c r="C70" s="47"/>
      <c r="D70" s="47"/>
      <c r="E70" s="47"/>
      <c r="F70" s="47"/>
    </row>
    <row r="71" customFormat="false" ht="15" hidden="false" customHeight="false" outlineLevel="0" collapsed="false">
      <c r="A71" s="50"/>
      <c r="B71" s="52"/>
      <c r="C71" s="51"/>
      <c r="D71" s="51"/>
      <c r="E71" s="51"/>
      <c r="F71" s="51"/>
    </row>
    <row r="72" customFormat="false" ht="15" hidden="false" customHeight="false" outlineLevel="0" collapsed="false">
      <c r="A72" s="46"/>
      <c r="B72" s="48"/>
      <c r="C72" s="47"/>
      <c r="D72" s="47"/>
      <c r="E72" s="47"/>
      <c r="F72" s="47"/>
    </row>
    <row r="73" customFormat="false" ht="15" hidden="false" customHeight="false" outlineLevel="0" collapsed="false">
      <c r="A73" s="50"/>
      <c r="B73" s="52"/>
      <c r="C73" s="51"/>
      <c r="D73" s="51"/>
      <c r="E73" s="51"/>
      <c r="F73" s="51"/>
    </row>
    <row r="74" customFormat="false" ht="15" hidden="false" customHeight="false" outlineLevel="0" collapsed="false">
      <c r="A74" s="46"/>
      <c r="B74" s="48"/>
      <c r="C74" s="47"/>
      <c r="D74" s="47"/>
      <c r="E74" s="47"/>
      <c r="F74" s="47"/>
    </row>
    <row r="75" customFormat="false" ht="15" hidden="false" customHeight="false" outlineLevel="0" collapsed="false">
      <c r="A75" s="50"/>
      <c r="B75" s="52"/>
      <c r="C75" s="51"/>
      <c r="D75" s="51"/>
      <c r="E75" s="51"/>
      <c r="F75" s="51"/>
    </row>
    <row r="76" customFormat="false" ht="15" hidden="false" customHeight="false" outlineLevel="0" collapsed="false">
      <c r="A76" s="46"/>
      <c r="B76" s="48"/>
      <c r="C76" s="47"/>
      <c r="D76" s="47"/>
      <c r="E76" s="47"/>
      <c r="F76" s="47"/>
    </row>
    <row r="77" customFormat="false" ht="15" hidden="false" customHeight="false" outlineLevel="0" collapsed="false">
      <c r="A77" s="50"/>
      <c r="B77" s="52"/>
      <c r="C77" s="51"/>
      <c r="D77" s="51"/>
      <c r="E77" s="51"/>
      <c r="F77" s="51"/>
    </row>
    <row r="78" customFormat="false" ht="15" hidden="false" customHeight="false" outlineLevel="0" collapsed="false">
      <c r="A78" s="46"/>
      <c r="B78" s="48"/>
      <c r="C78" s="47"/>
      <c r="D78" s="47"/>
      <c r="E78" s="47"/>
      <c r="F78" s="47"/>
    </row>
    <row r="79" customFormat="false" ht="15" hidden="false" customHeight="false" outlineLevel="0" collapsed="false">
      <c r="A79" s="50"/>
      <c r="B79" s="52"/>
      <c r="C79" s="51"/>
      <c r="D79" s="51"/>
      <c r="E79" s="51"/>
      <c r="F79" s="51"/>
    </row>
    <row r="80" customFormat="false" ht="15" hidden="false" customHeight="false" outlineLevel="0" collapsed="false">
      <c r="A80" s="46"/>
      <c r="B80" s="48"/>
      <c r="C80" s="47"/>
      <c r="D80" s="47"/>
      <c r="E80" s="47"/>
      <c r="F80" s="47"/>
    </row>
    <row r="81" customFormat="false" ht="15" hidden="false" customHeight="false" outlineLevel="0" collapsed="false">
      <c r="A81" s="50"/>
      <c r="B81" s="52"/>
      <c r="C81" s="51"/>
      <c r="D81" s="51"/>
      <c r="E81" s="51"/>
      <c r="F81" s="51"/>
    </row>
    <row r="82" customFormat="false" ht="15" hidden="false" customHeight="false" outlineLevel="0" collapsed="false">
      <c r="A82" s="46"/>
      <c r="B82" s="48"/>
      <c r="C82" s="47"/>
      <c r="D82" s="47"/>
      <c r="E82" s="47"/>
      <c r="F82" s="47"/>
    </row>
    <row r="83" customFormat="false" ht="15" hidden="false" customHeight="false" outlineLevel="0" collapsed="false">
      <c r="A83" s="50"/>
      <c r="B83" s="52"/>
      <c r="C83" s="51"/>
      <c r="D83" s="51"/>
      <c r="E83" s="51"/>
      <c r="F83" s="51"/>
    </row>
    <row r="84" customFormat="false" ht="15" hidden="false" customHeight="false" outlineLevel="0" collapsed="false">
      <c r="A84" s="46"/>
      <c r="B84" s="48"/>
      <c r="C84" s="47"/>
      <c r="D84" s="47"/>
      <c r="E84" s="47"/>
      <c r="F84" s="47"/>
    </row>
    <row r="85" customFormat="false" ht="15" hidden="false" customHeight="false" outlineLevel="0" collapsed="false">
      <c r="A85" s="50"/>
      <c r="B85" s="52"/>
      <c r="C85" s="51"/>
      <c r="D85" s="51"/>
      <c r="E85" s="51"/>
      <c r="F85" s="51"/>
    </row>
    <row r="86" customFormat="false" ht="15" hidden="false" customHeight="false" outlineLevel="0" collapsed="false">
      <c r="A86" s="46"/>
      <c r="B86" s="48"/>
      <c r="C86" s="47"/>
      <c r="D86" s="47"/>
      <c r="E86" s="47"/>
      <c r="F86" s="47"/>
    </row>
    <row r="87" customFormat="false" ht="15" hidden="false" customHeight="false" outlineLevel="0" collapsed="false">
      <c r="A87" s="50"/>
      <c r="B87" s="52"/>
      <c r="C87" s="51"/>
      <c r="D87" s="51"/>
      <c r="E87" s="51"/>
      <c r="F87" s="51"/>
    </row>
    <row r="88" customFormat="false" ht="15" hidden="false" customHeight="false" outlineLevel="0" collapsed="false">
      <c r="A88" s="46"/>
      <c r="B88" s="48"/>
      <c r="C88" s="47"/>
      <c r="D88" s="47"/>
      <c r="E88" s="47"/>
      <c r="F88" s="47"/>
    </row>
    <row r="89" customFormat="false" ht="15" hidden="false" customHeight="false" outlineLevel="0" collapsed="false">
      <c r="A89" s="50"/>
      <c r="B89" s="52"/>
      <c r="C89" s="51"/>
      <c r="D89" s="51"/>
      <c r="E89" s="51"/>
      <c r="F89" s="51"/>
    </row>
    <row r="90" customFormat="false" ht="15" hidden="false" customHeight="false" outlineLevel="0" collapsed="false">
      <c r="A90" s="46"/>
      <c r="B90" s="48"/>
      <c r="C90" s="47"/>
      <c r="D90" s="47"/>
      <c r="E90" s="47"/>
      <c r="F90" s="47"/>
    </row>
    <row r="91" customFormat="false" ht="15" hidden="false" customHeight="false" outlineLevel="0" collapsed="false">
      <c r="A91" s="50"/>
      <c r="B91" s="52"/>
      <c r="C91" s="51"/>
      <c r="D91" s="51"/>
      <c r="E91" s="51"/>
      <c r="F91" s="51"/>
    </row>
    <row r="92" customFormat="false" ht="15" hidden="false" customHeight="false" outlineLevel="0" collapsed="false">
      <c r="A92" s="46"/>
      <c r="B92" s="48"/>
      <c r="C92" s="47"/>
      <c r="D92" s="47"/>
      <c r="E92" s="47"/>
      <c r="F92" s="47"/>
    </row>
    <row r="93" customFormat="false" ht="15" hidden="false" customHeight="false" outlineLevel="0" collapsed="false">
      <c r="A93" s="50"/>
      <c r="B93" s="52"/>
      <c r="C93" s="51"/>
      <c r="D93" s="51"/>
      <c r="E93" s="51"/>
      <c r="F93" s="51"/>
    </row>
    <row r="94" customFormat="false" ht="15" hidden="false" customHeight="false" outlineLevel="0" collapsed="false">
      <c r="A94" s="46"/>
      <c r="B94" s="48"/>
      <c r="C94" s="47"/>
      <c r="D94" s="47"/>
      <c r="E94" s="47"/>
      <c r="F94" s="47"/>
    </row>
    <row r="95" customFormat="false" ht="15" hidden="false" customHeight="false" outlineLevel="0" collapsed="false">
      <c r="A95" s="50"/>
      <c r="B95" s="52"/>
      <c r="C95" s="51"/>
      <c r="D95" s="51"/>
      <c r="E95" s="51"/>
      <c r="F95" s="51"/>
    </row>
    <row r="96" customFormat="false" ht="15" hidden="false" customHeight="false" outlineLevel="0" collapsed="false">
      <c r="A96" s="46"/>
      <c r="B96" s="48"/>
      <c r="C96" s="47"/>
      <c r="D96" s="47"/>
      <c r="E96" s="47"/>
      <c r="F96" s="47"/>
    </row>
    <row r="97" customFormat="false" ht="15" hidden="false" customHeight="false" outlineLevel="0" collapsed="false">
      <c r="A97" s="50"/>
      <c r="B97" s="52"/>
      <c r="C97" s="51"/>
      <c r="D97" s="51"/>
      <c r="E97" s="51"/>
      <c r="F97" s="51"/>
    </row>
    <row r="98" customFormat="false" ht="15" hidden="false" customHeight="false" outlineLevel="0" collapsed="false">
      <c r="A98" s="46"/>
      <c r="B98" s="48"/>
      <c r="C98" s="47"/>
      <c r="D98" s="47"/>
      <c r="E98" s="47"/>
      <c r="F98" s="47"/>
    </row>
    <row r="99" customFormat="false" ht="15" hidden="false" customHeight="false" outlineLevel="0" collapsed="false">
      <c r="A99" s="50"/>
      <c r="B99" s="52"/>
      <c r="C99" s="51"/>
      <c r="D99" s="51"/>
      <c r="E99" s="51"/>
      <c r="F99" s="51"/>
    </row>
    <row r="100" customFormat="false" ht="15" hidden="false" customHeight="false" outlineLevel="0" collapsed="false">
      <c r="A100" s="46"/>
      <c r="B100" s="48"/>
      <c r="C100" s="47"/>
      <c r="D100" s="47"/>
      <c r="E100" s="47"/>
      <c r="F100" s="47"/>
    </row>
    <row r="101" customFormat="false" ht="15" hidden="false" customHeight="false" outlineLevel="0" collapsed="false">
      <c r="A101" s="50"/>
      <c r="B101" s="52"/>
      <c r="C101" s="51"/>
      <c r="D101" s="51"/>
      <c r="E101" s="51"/>
      <c r="F101" s="51"/>
    </row>
    <row r="102" customFormat="false" ht="15" hidden="false" customHeight="false" outlineLevel="0" collapsed="false">
      <c r="A102" s="46"/>
      <c r="B102" s="48"/>
      <c r="C102" s="47"/>
      <c r="D102" s="47"/>
      <c r="E102" s="47"/>
      <c r="F102" s="47"/>
    </row>
    <row r="103" customFormat="false" ht="15" hidden="false" customHeight="false" outlineLevel="0" collapsed="false">
      <c r="A103" s="50"/>
      <c r="B103" s="52"/>
      <c r="C103" s="51"/>
      <c r="D103" s="51"/>
      <c r="E103" s="51"/>
      <c r="F103" s="51"/>
    </row>
    <row r="104" customFormat="false" ht="15" hidden="false" customHeight="false" outlineLevel="0" collapsed="false">
      <c r="A104" s="46"/>
      <c r="B104" s="48"/>
      <c r="C104" s="47"/>
      <c r="D104" s="47"/>
      <c r="E104" s="47"/>
      <c r="F104" s="47"/>
    </row>
    <row r="105" customFormat="false" ht="15" hidden="false" customHeight="false" outlineLevel="0" collapsed="false">
      <c r="A105" s="54" t="s">
        <v>109</v>
      </c>
      <c r="B105" s="55" t="n">
        <f aca="false">SUM(B4:B104)</f>
        <v>800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30"/>
  </cols>
  <sheetData>
    <row r="1" customFormat="false" ht="30" hidden="false" customHeight="true" outlineLevel="0" collapsed="false">
      <c r="A1" s="35" t="s">
        <v>110</v>
      </c>
      <c r="B1" s="35"/>
      <c r="C1" s="35"/>
      <c r="D1" s="35"/>
      <c r="E1" s="35"/>
    </row>
    <row r="2" customFormat="false" ht="15" hidden="false" customHeight="false" outlineLevel="0" collapsed="false">
      <c r="A2" s="60" t="s">
        <v>111</v>
      </c>
      <c r="B2" s="60"/>
      <c r="C2" s="60"/>
      <c r="D2" s="60"/>
      <c r="E2" s="60"/>
    </row>
    <row r="4" customFormat="false" ht="15" hidden="false" customHeight="false" outlineLevel="0" collapsed="false">
      <c r="A4" s="61" t="s">
        <v>112</v>
      </c>
      <c r="B4" s="62" t="n">
        <f aca="false">IFERROR(SUMPRODUCT((YEAR('💸 Expense Log'!A:A)='📊 Dashboard'!B5)*'💸 Expense Log'!D:D)/MAX(1,SUMPRODUCT((YEAR('💸 Expense Log'!A:A)='📊 Dashboard'!B5)*('💸 Expense Log'!D:D&lt;&gt;"")*(ROW('💸 Expense Log'!A:A)&gt;3)/MAX(1,MONTH('💸 Expense Log'!A:A)))),0)</f>
        <v>0</v>
      </c>
      <c r="D4" s="63" t="s">
        <v>113</v>
      </c>
      <c r="E4" s="64" t="str">
        <f aca="false">IF(B7&gt;=1,"✅ FULLY FUNDED",IF(B7&gt;=0.5,"⚡ HALFWAY THERE — KEEP GOING","🔴 NOT YET FUNDED — PRIORITY 1"))</f>
        <v>🔴 NOT YET FUNDED — PRIORITY 1</v>
      </c>
    </row>
    <row r="5" customFormat="false" ht="15" hidden="false" customHeight="false" outlineLevel="0" collapsed="false">
      <c r="A5" s="61" t="s">
        <v>114</v>
      </c>
      <c r="B5" s="65" t="n">
        <f aca="false">B4*3</f>
        <v>0</v>
      </c>
    </row>
    <row r="6" customFormat="false" ht="15" hidden="false" customHeight="false" outlineLevel="0" collapsed="false">
      <c r="A6" s="61" t="s">
        <v>115</v>
      </c>
      <c r="B6" s="66" t="n">
        <f aca="false">SUM(C10:C110)</f>
        <v>200</v>
      </c>
    </row>
    <row r="7" customFormat="false" ht="15" hidden="false" customHeight="false" outlineLevel="0" collapsed="false">
      <c r="A7" s="61" t="s">
        <v>116</v>
      </c>
      <c r="B7" s="67" t="n">
        <f aca="false">IFERROR(B6/B5,0)</f>
        <v>0</v>
      </c>
    </row>
    <row r="9" customFormat="false" ht="15" hidden="false" customHeight="false" outlineLevel="0" collapsed="false">
      <c r="A9" s="37" t="s">
        <v>57</v>
      </c>
      <c r="B9" s="37" t="s">
        <v>117</v>
      </c>
      <c r="C9" s="37" t="s">
        <v>60</v>
      </c>
      <c r="D9" s="37" t="s">
        <v>118</v>
      </c>
      <c r="E9" s="37" t="s">
        <v>63</v>
      </c>
    </row>
    <row r="10" customFormat="false" ht="15" hidden="false" customHeight="false" outlineLevel="0" collapsed="false">
      <c r="A10" s="46" t="n">
        <v>46174</v>
      </c>
      <c r="B10" s="47" t="s">
        <v>119</v>
      </c>
      <c r="C10" s="48" t="n">
        <v>200</v>
      </c>
      <c r="D10" s="48" t="n">
        <f aca="false">C10</f>
        <v>200</v>
      </c>
      <c r="E10" s="47" t="s">
        <v>120</v>
      </c>
    </row>
    <row r="11" customFormat="false" ht="15" hidden="false" customHeight="false" outlineLevel="0" collapsed="false">
      <c r="A11" s="50"/>
      <c r="B11" s="51"/>
      <c r="C11" s="52"/>
      <c r="D11" s="68" t="n">
        <f aca="false">IFERROR(D10+C11,D10)</f>
        <v>200</v>
      </c>
      <c r="E11" s="51"/>
    </row>
    <row r="12" customFormat="false" ht="15" hidden="false" customHeight="false" outlineLevel="0" collapsed="false">
      <c r="A12" s="46"/>
      <c r="B12" s="47"/>
      <c r="C12" s="48"/>
      <c r="D12" s="69" t="n">
        <f aca="false">IFERROR(D11+C12,D11)</f>
        <v>200</v>
      </c>
      <c r="E12" s="47"/>
    </row>
    <row r="13" customFormat="false" ht="15" hidden="false" customHeight="false" outlineLevel="0" collapsed="false">
      <c r="A13" s="50"/>
      <c r="B13" s="51"/>
      <c r="C13" s="52"/>
      <c r="D13" s="68" t="n">
        <f aca="false">IFERROR(D12+C13,D12)</f>
        <v>200</v>
      </c>
      <c r="E13" s="51"/>
    </row>
    <row r="14" customFormat="false" ht="15" hidden="false" customHeight="false" outlineLevel="0" collapsed="false">
      <c r="A14" s="46"/>
      <c r="B14" s="47"/>
      <c r="C14" s="48"/>
      <c r="D14" s="69" t="n">
        <f aca="false">IFERROR(D13+C14,D13)</f>
        <v>200</v>
      </c>
      <c r="E14" s="47"/>
    </row>
    <row r="15" customFormat="false" ht="15" hidden="false" customHeight="false" outlineLevel="0" collapsed="false">
      <c r="A15" s="50"/>
      <c r="B15" s="51"/>
      <c r="C15" s="52"/>
      <c r="D15" s="68" t="n">
        <f aca="false">IFERROR(D14+C15,D14)</f>
        <v>200</v>
      </c>
      <c r="E15" s="51"/>
    </row>
    <row r="16" customFormat="false" ht="15" hidden="false" customHeight="false" outlineLevel="0" collapsed="false">
      <c r="A16" s="46"/>
      <c r="B16" s="47"/>
      <c r="C16" s="48"/>
      <c r="D16" s="69" t="n">
        <f aca="false">IFERROR(D15+C16,D15)</f>
        <v>200</v>
      </c>
      <c r="E16" s="47"/>
    </row>
    <row r="17" customFormat="false" ht="15" hidden="false" customHeight="false" outlineLevel="0" collapsed="false">
      <c r="A17" s="50"/>
      <c r="B17" s="51"/>
      <c r="C17" s="52"/>
      <c r="D17" s="68" t="n">
        <f aca="false">IFERROR(D16+C17,D16)</f>
        <v>200</v>
      </c>
      <c r="E17" s="51"/>
    </row>
    <row r="18" customFormat="false" ht="15" hidden="false" customHeight="false" outlineLevel="0" collapsed="false">
      <c r="A18" s="46"/>
      <c r="B18" s="47"/>
      <c r="C18" s="48"/>
      <c r="D18" s="69" t="n">
        <f aca="false">IFERROR(D17+C18,D17)</f>
        <v>200</v>
      </c>
      <c r="E18" s="47"/>
    </row>
    <row r="19" customFormat="false" ht="15" hidden="false" customHeight="false" outlineLevel="0" collapsed="false">
      <c r="A19" s="50"/>
      <c r="B19" s="51"/>
      <c r="C19" s="52"/>
      <c r="D19" s="68" t="n">
        <f aca="false">IFERROR(D18+C19,D18)</f>
        <v>200</v>
      </c>
      <c r="E19" s="51"/>
    </row>
    <row r="20" customFormat="false" ht="15" hidden="false" customHeight="false" outlineLevel="0" collapsed="false">
      <c r="A20" s="46"/>
      <c r="B20" s="47"/>
      <c r="C20" s="48"/>
      <c r="D20" s="69" t="n">
        <f aca="false">IFERROR(D19+C20,D19)</f>
        <v>200</v>
      </c>
      <c r="E20" s="47"/>
    </row>
    <row r="21" customFormat="false" ht="15" hidden="false" customHeight="false" outlineLevel="0" collapsed="false">
      <c r="A21" s="50"/>
      <c r="B21" s="51"/>
      <c r="C21" s="52"/>
      <c r="D21" s="68" t="n">
        <f aca="false">IFERROR(D20+C21,D20)</f>
        <v>200</v>
      </c>
      <c r="E21" s="51"/>
    </row>
    <row r="22" customFormat="false" ht="15" hidden="false" customHeight="false" outlineLevel="0" collapsed="false">
      <c r="A22" s="46"/>
      <c r="B22" s="47"/>
      <c r="C22" s="48"/>
      <c r="D22" s="69" t="n">
        <f aca="false">IFERROR(D21+C22,D21)</f>
        <v>200</v>
      </c>
      <c r="E22" s="47"/>
    </row>
    <row r="23" customFormat="false" ht="15" hidden="false" customHeight="false" outlineLevel="0" collapsed="false">
      <c r="A23" s="50"/>
      <c r="B23" s="51"/>
      <c r="C23" s="52"/>
      <c r="D23" s="68" t="n">
        <f aca="false">IFERROR(D22+C23,D22)</f>
        <v>200</v>
      </c>
      <c r="E23" s="51"/>
    </row>
    <row r="24" customFormat="false" ht="15" hidden="false" customHeight="false" outlineLevel="0" collapsed="false">
      <c r="A24" s="46"/>
      <c r="B24" s="47"/>
      <c r="C24" s="48"/>
      <c r="D24" s="69" t="n">
        <f aca="false">IFERROR(D23+C24,D23)</f>
        <v>200</v>
      </c>
      <c r="E24" s="47"/>
    </row>
    <row r="25" customFormat="false" ht="15" hidden="false" customHeight="false" outlineLevel="0" collapsed="false">
      <c r="A25" s="50"/>
      <c r="B25" s="51"/>
      <c r="C25" s="52"/>
      <c r="D25" s="68" t="n">
        <f aca="false">IFERROR(D24+C25,D24)</f>
        <v>200</v>
      </c>
      <c r="E25" s="51"/>
    </row>
    <row r="26" customFormat="false" ht="15" hidden="false" customHeight="false" outlineLevel="0" collapsed="false">
      <c r="A26" s="46"/>
      <c r="B26" s="47"/>
      <c r="C26" s="48"/>
      <c r="D26" s="69" t="n">
        <f aca="false">IFERROR(D25+C26,D25)</f>
        <v>200</v>
      </c>
      <c r="E26" s="47"/>
    </row>
    <row r="27" customFormat="false" ht="15" hidden="false" customHeight="false" outlineLevel="0" collapsed="false">
      <c r="A27" s="50"/>
      <c r="B27" s="51"/>
      <c r="C27" s="52"/>
      <c r="D27" s="68" t="n">
        <f aca="false">IFERROR(D26+C27,D26)</f>
        <v>200</v>
      </c>
      <c r="E27" s="51"/>
    </row>
    <row r="28" customFormat="false" ht="15" hidden="false" customHeight="false" outlineLevel="0" collapsed="false">
      <c r="A28" s="46"/>
      <c r="B28" s="47"/>
      <c r="C28" s="48"/>
      <c r="D28" s="69" t="n">
        <f aca="false">IFERROR(D27+C28,D27)</f>
        <v>200</v>
      </c>
      <c r="E28" s="47"/>
    </row>
    <row r="29" customFormat="false" ht="15" hidden="false" customHeight="false" outlineLevel="0" collapsed="false">
      <c r="A29" s="50"/>
      <c r="B29" s="51"/>
      <c r="C29" s="52"/>
      <c r="D29" s="68" t="n">
        <f aca="false">IFERROR(D28+C29,D28)</f>
        <v>200</v>
      </c>
      <c r="E29" s="51"/>
    </row>
    <row r="30" customFormat="false" ht="15" hidden="false" customHeight="false" outlineLevel="0" collapsed="false">
      <c r="A30" s="46"/>
      <c r="B30" s="47"/>
      <c r="C30" s="48"/>
      <c r="D30" s="69" t="n">
        <f aca="false">IFERROR(D29+C30,D29)</f>
        <v>200</v>
      </c>
      <c r="E30" s="47"/>
    </row>
    <row r="31" customFormat="false" ht="15" hidden="false" customHeight="false" outlineLevel="0" collapsed="false">
      <c r="A31" s="50"/>
      <c r="B31" s="51"/>
      <c r="C31" s="52"/>
      <c r="D31" s="68" t="n">
        <f aca="false">IFERROR(D30+C31,D30)</f>
        <v>200</v>
      </c>
      <c r="E31" s="51"/>
    </row>
    <row r="32" customFormat="false" ht="15" hidden="false" customHeight="false" outlineLevel="0" collapsed="false">
      <c r="A32" s="46"/>
      <c r="B32" s="47"/>
      <c r="C32" s="48"/>
      <c r="D32" s="69" t="n">
        <f aca="false">IFERROR(D31+C32,D31)</f>
        <v>200</v>
      </c>
      <c r="E32" s="47"/>
    </row>
    <row r="33" customFormat="false" ht="15" hidden="false" customHeight="false" outlineLevel="0" collapsed="false">
      <c r="A33" s="50"/>
      <c r="B33" s="51"/>
      <c r="C33" s="52"/>
      <c r="D33" s="68" t="n">
        <f aca="false">IFERROR(D32+C33,D32)</f>
        <v>200</v>
      </c>
      <c r="E33" s="51"/>
    </row>
    <row r="34" customFormat="false" ht="15" hidden="false" customHeight="false" outlineLevel="0" collapsed="false">
      <c r="A34" s="46"/>
      <c r="B34" s="47"/>
      <c r="C34" s="48"/>
      <c r="D34" s="69" t="n">
        <f aca="false">IFERROR(D33+C34,D33)</f>
        <v>200</v>
      </c>
      <c r="E34" s="47"/>
    </row>
    <row r="35" customFormat="false" ht="15" hidden="false" customHeight="false" outlineLevel="0" collapsed="false">
      <c r="A35" s="50"/>
      <c r="B35" s="51"/>
      <c r="C35" s="52"/>
      <c r="D35" s="68" t="n">
        <f aca="false">IFERROR(D34+C35,D34)</f>
        <v>200</v>
      </c>
      <c r="E35" s="51"/>
    </row>
    <row r="36" customFormat="false" ht="15" hidden="false" customHeight="false" outlineLevel="0" collapsed="false">
      <c r="A36" s="46"/>
      <c r="B36" s="47"/>
      <c r="C36" s="48"/>
      <c r="D36" s="69" t="n">
        <f aca="false">IFERROR(D35+C36,D35)</f>
        <v>200</v>
      </c>
      <c r="E36" s="47"/>
    </row>
    <row r="37" customFormat="false" ht="15" hidden="false" customHeight="false" outlineLevel="0" collapsed="false">
      <c r="A37" s="50"/>
      <c r="B37" s="51"/>
      <c r="C37" s="52"/>
      <c r="D37" s="68" t="n">
        <f aca="false">IFERROR(D36+C37,D36)</f>
        <v>200</v>
      </c>
      <c r="E37" s="51"/>
    </row>
    <row r="38" customFormat="false" ht="15" hidden="false" customHeight="false" outlineLevel="0" collapsed="false">
      <c r="A38" s="46"/>
      <c r="B38" s="47"/>
      <c r="C38" s="48"/>
      <c r="D38" s="69" t="n">
        <f aca="false">IFERROR(D37+C38,D37)</f>
        <v>200</v>
      </c>
      <c r="E38" s="47"/>
    </row>
    <row r="39" customFormat="false" ht="15" hidden="false" customHeight="false" outlineLevel="0" collapsed="false">
      <c r="A39" s="50"/>
      <c r="B39" s="51"/>
      <c r="C39" s="52"/>
      <c r="D39" s="68" t="n">
        <f aca="false">IFERROR(D38+C39,D38)</f>
        <v>200</v>
      </c>
      <c r="E39" s="51"/>
    </row>
    <row r="40" customFormat="false" ht="15" hidden="false" customHeight="false" outlineLevel="0" collapsed="false">
      <c r="A40" s="46"/>
      <c r="B40" s="47"/>
      <c r="C40" s="48"/>
      <c r="D40" s="69" t="n">
        <f aca="false">IFERROR(D39+C40,D39)</f>
        <v>200</v>
      </c>
      <c r="E40" s="47"/>
    </row>
    <row r="41" customFormat="false" ht="15" hidden="false" customHeight="false" outlineLevel="0" collapsed="false">
      <c r="A41" s="50"/>
      <c r="B41" s="51"/>
      <c r="C41" s="52"/>
      <c r="D41" s="68" t="n">
        <f aca="false">IFERROR(D40+C41,D40)</f>
        <v>200</v>
      </c>
      <c r="E41" s="51"/>
    </row>
    <row r="42" customFormat="false" ht="15" hidden="false" customHeight="false" outlineLevel="0" collapsed="false">
      <c r="A42" s="46"/>
      <c r="B42" s="47"/>
      <c r="C42" s="48"/>
      <c r="D42" s="69" t="n">
        <f aca="false">IFERROR(D41+C42,D41)</f>
        <v>200</v>
      </c>
      <c r="E42" s="47"/>
    </row>
    <row r="43" customFormat="false" ht="15" hidden="false" customHeight="false" outlineLevel="0" collapsed="false">
      <c r="A43" s="50"/>
      <c r="B43" s="51"/>
      <c r="C43" s="52"/>
      <c r="D43" s="68" t="n">
        <f aca="false">IFERROR(D42+C43,D42)</f>
        <v>200</v>
      </c>
      <c r="E43" s="51"/>
    </row>
    <row r="44" customFormat="false" ht="15" hidden="false" customHeight="false" outlineLevel="0" collapsed="false">
      <c r="A44" s="46"/>
      <c r="B44" s="47"/>
      <c r="C44" s="48"/>
      <c r="D44" s="69" t="n">
        <f aca="false">IFERROR(D43+C44,D43)</f>
        <v>200</v>
      </c>
      <c r="E44" s="47"/>
    </row>
    <row r="45" customFormat="false" ht="15" hidden="false" customHeight="false" outlineLevel="0" collapsed="false">
      <c r="A45" s="50"/>
      <c r="B45" s="51"/>
      <c r="C45" s="52"/>
      <c r="D45" s="68" t="n">
        <f aca="false">IFERROR(D44+C45,D44)</f>
        <v>200</v>
      </c>
      <c r="E45" s="51"/>
    </row>
    <row r="46" customFormat="false" ht="15" hidden="false" customHeight="false" outlineLevel="0" collapsed="false">
      <c r="A46" s="46"/>
      <c r="B46" s="47"/>
      <c r="C46" s="48"/>
      <c r="D46" s="69" t="n">
        <f aca="false">IFERROR(D45+C46,D45)</f>
        <v>200</v>
      </c>
      <c r="E46" s="47"/>
    </row>
    <row r="47" customFormat="false" ht="15" hidden="false" customHeight="false" outlineLevel="0" collapsed="false">
      <c r="A47" s="50"/>
      <c r="B47" s="51"/>
      <c r="C47" s="52"/>
      <c r="D47" s="68" t="n">
        <f aca="false">IFERROR(D46+C47,D46)</f>
        <v>200</v>
      </c>
      <c r="E47" s="51"/>
    </row>
    <row r="48" customFormat="false" ht="15" hidden="false" customHeight="false" outlineLevel="0" collapsed="false">
      <c r="A48" s="46"/>
      <c r="B48" s="47"/>
      <c r="C48" s="48"/>
      <c r="D48" s="69" t="n">
        <f aca="false">IFERROR(D47+C48,D47)</f>
        <v>200</v>
      </c>
      <c r="E48" s="47"/>
    </row>
    <row r="49" customFormat="false" ht="15" hidden="false" customHeight="false" outlineLevel="0" collapsed="false">
      <c r="A49" s="50"/>
      <c r="B49" s="51"/>
      <c r="C49" s="52"/>
      <c r="D49" s="68" t="n">
        <f aca="false">IFERROR(D48+C49,D48)</f>
        <v>200</v>
      </c>
      <c r="E49" s="51"/>
    </row>
    <row r="50" customFormat="false" ht="15" hidden="false" customHeight="false" outlineLevel="0" collapsed="false">
      <c r="A50" s="46"/>
      <c r="B50" s="47"/>
      <c r="C50" s="48"/>
      <c r="D50" s="69" t="n">
        <f aca="false">IFERROR(D49+C50,D49)</f>
        <v>200</v>
      </c>
      <c r="E50" s="47"/>
    </row>
    <row r="51" customFormat="false" ht="15" hidden="false" customHeight="false" outlineLevel="0" collapsed="false">
      <c r="A51" s="50"/>
      <c r="B51" s="51"/>
      <c r="C51" s="52"/>
      <c r="D51" s="68" t="n">
        <f aca="false">IFERROR(D50+C51,D50)</f>
        <v>200</v>
      </c>
      <c r="E51" s="51"/>
    </row>
    <row r="52" customFormat="false" ht="15" hidden="false" customHeight="false" outlineLevel="0" collapsed="false">
      <c r="A52" s="46"/>
      <c r="B52" s="47"/>
      <c r="C52" s="48"/>
      <c r="D52" s="69" t="n">
        <f aca="false">IFERROR(D51+C52,D51)</f>
        <v>200</v>
      </c>
      <c r="E52" s="47"/>
    </row>
    <row r="53" customFormat="false" ht="15" hidden="false" customHeight="false" outlineLevel="0" collapsed="false">
      <c r="A53" s="50"/>
      <c r="B53" s="51"/>
      <c r="C53" s="52"/>
      <c r="D53" s="68" t="n">
        <f aca="false">IFERROR(D52+C53,D52)</f>
        <v>200</v>
      </c>
      <c r="E53" s="51"/>
    </row>
    <row r="54" customFormat="false" ht="15" hidden="false" customHeight="false" outlineLevel="0" collapsed="false">
      <c r="A54" s="46"/>
      <c r="B54" s="47"/>
      <c r="C54" s="48"/>
      <c r="D54" s="69" t="n">
        <f aca="false">IFERROR(D53+C54,D53)</f>
        <v>200</v>
      </c>
      <c r="E54" s="47"/>
    </row>
    <row r="55" customFormat="false" ht="15" hidden="false" customHeight="false" outlineLevel="0" collapsed="false">
      <c r="A55" s="50"/>
      <c r="B55" s="51"/>
      <c r="C55" s="52"/>
      <c r="D55" s="68" t="n">
        <f aca="false">IFERROR(D54+C55,D54)</f>
        <v>200</v>
      </c>
      <c r="E55" s="51"/>
    </row>
    <row r="56" customFormat="false" ht="15" hidden="false" customHeight="false" outlineLevel="0" collapsed="false">
      <c r="A56" s="46"/>
      <c r="B56" s="47"/>
      <c r="C56" s="48"/>
      <c r="D56" s="69" t="n">
        <f aca="false">IFERROR(D55+C56,D55)</f>
        <v>200</v>
      </c>
      <c r="E56" s="47"/>
    </row>
    <row r="57" customFormat="false" ht="15" hidden="false" customHeight="false" outlineLevel="0" collapsed="false">
      <c r="A57" s="50"/>
      <c r="B57" s="51"/>
      <c r="C57" s="52"/>
      <c r="D57" s="68" t="n">
        <f aca="false">IFERROR(D56+C57,D56)</f>
        <v>200</v>
      </c>
      <c r="E57" s="51"/>
    </row>
    <row r="58" customFormat="false" ht="15" hidden="false" customHeight="false" outlineLevel="0" collapsed="false">
      <c r="A58" s="46"/>
      <c r="B58" s="47"/>
      <c r="C58" s="48"/>
      <c r="D58" s="69" t="n">
        <f aca="false">IFERROR(D57+C58,D57)</f>
        <v>200</v>
      </c>
      <c r="E58" s="47"/>
    </row>
    <row r="59" customFormat="false" ht="15" hidden="false" customHeight="false" outlineLevel="0" collapsed="false">
      <c r="A59" s="50"/>
      <c r="B59" s="51"/>
      <c r="C59" s="52"/>
      <c r="D59" s="68" t="n">
        <f aca="false">IFERROR(D58+C59,D58)</f>
        <v>200</v>
      </c>
      <c r="E59" s="51"/>
    </row>
    <row r="60" customFormat="false" ht="15" hidden="false" customHeight="false" outlineLevel="0" collapsed="false">
      <c r="A60" s="46"/>
      <c r="B60" s="47"/>
      <c r="C60" s="48"/>
      <c r="D60" s="69" t="n">
        <f aca="false">IFERROR(D59+C60,D59)</f>
        <v>200</v>
      </c>
      <c r="E60" s="47"/>
    </row>
    <row r="61" customFormat="false" ht="15" hidden="false" customHeight="false" outlineLevel="0" collapsed="false">
      <c r="A61" s="50"/>
      <c r="B61" s="51"/>
      <c r="C61" s="52"/>
      <c r="D61" s="68" t="n">
        <f aca="false">IFERROR(D60+C61,D60)</f>
        <v>200</v>
      </c>
      <c r="E61" s="51"/>
    </row>
    <row r="62" customFormat="false" ht="15" hidden="false" customHeight="false" outlineLevel="0" collapsed="false">
      <c r="A62" s="46"/>
      <c r="B62" s="47"/>
      <c r="C62" s="48"/>
      <c r="D62" s="69" t="n">
        <f aca="false">IFERROR(D61+C62,D61)</f>
        <v>200</v>
      </c>
      <c r="E62" s="47"/>
    </row>
    <row r="63" customFormat="false" ht="15" hidden="false" customHeight="false" outlineLevel="0" collapsed="false">
      <c r="A63" s="50"/>
      <c r="B63" s="51"/>
      <c r="C63" s="52"/>
      <c r="D63" s="68" t="n">
        <f aca="false">IFERROR(D62+C63,D62)</f>
        <v>200</v>
      </c>
      <c r="E63" s="51"/>
    </row>
    <row r="64" customFormat="false" ht="15" hidden="false" customHeight="false" outlineLevel="0" collapsed="false">
      <c r="A64" s="46"/>
      <c r="B64" s="47"/>
      <c r="C64" s="48"/>
      <c r="D64" s="69" t="n">
        <f aca="false">IFERROR(D63+C64,D63)</f>
        <v>200</v>
      </c>
      <c r="E64" s="47"/>
    </row>
    <row r="65" customFormat="false" ht="15" hidden="false" customHeight="false" outlineLevel="0" collapsed="false">
      <c r="A65" s="50"/>
      <c r="B65" s="51"/>
      <c r="C65" s="52"/>
      <c r="D65" s="68" t="n">
        <f aca="false">IFERROR(D64+C65,D64)</f>
        <v>200</v>
      </c>
      <c r="E65" s="51"/>
    </row>
    <row r="66" customFormat="false" ht="15" hidden="false" customHeight="false" outlineLevel="0" collapsed="false">
      <c r="A66" s="46"/>
      <c r="B66" s="47"/>
      <c r="C66" s="48"/>
      <c r="D66" s="69" t="n">
        <f aca="false">IFERROR(D65+C66,D65)</f>
        <v>200</v>
      </c>
      <c r="E66" s="47"/>
    </row>
    <row r="67" customFormat="false" ht="15" hidden="false" customHeight="false" outlineLevel="0" collapsed="false">
      <c r="A67" s="50"/>
      <c r="B67" s="51"/>
      <c r="C67" s="52"/>
      <c r="D67" s="68" t="n">
        <f aca="false">IFERROR(D66+C67,D66)</f>
        <v>200</v>
      </c>
      <c r="E67" s="51"/>
    </row>
    <row r="68" customFormat="false" ht="15" hidden="false" customHeight="false" outlineLevel="0" collapsed="false">
      <c r="A68" s="46"/>
      <c r="B68" s="47"/>
      <c r="C68" s="48"/>
      <c r="D68" s="69" t="n">
        <f aca="false">IFERROR(D67+C68,D67)</f>
        <v>200</v>
      </c>
      <c r="E68" s="47"/>
    </row>
    <row r="69" customFormat="false" ht="15" hidden="false" customHeight="false" outlineLevel="0" collapsed="false">
      <c r="A69" s="50"/>
      <c r="B69" s="51"/>
      <c r="C69" s="52"/>
      <c r="D69" s="68" t="n">
        <f aca="false">IFERROR(D68+C69,D68)</f>
        <v>200</v>
      </c>
      <c r="E69" s="51"/>
    </row>
    <row r="70" customFormat="false" ht="15" hidden="false" customHeight="false" outlineLevel="0" collapsed="false">
      <c r="A70" s="46"/>
      <c r="B70" s="47"/>
      <c r="C70" s="48"/>
      <c r="D70" s="69" t="n">
        <f aca="false">IFERROR(D69+C70,D69)</f>
        <v>200</v>
      </c>
      <c r="E70" s="47"/>
    </row>
    <row r="71" customFormat="false" ht="15" hidden="false" customHeight="false" outlineLevel="0" collapsed="false">
      <c r="A71" s="50"/>
      <c r="B71" s="51"/>
      <c r="C71" s="52"/>
      <c r="D71" s="68" t="n">
        <f aca="false">IFERROR(D70+C71,D70)</f>
        <v>200</v>
      </c>
      <c r="E71" s="51"/>
    </row>
    <row r="72" customFormat="false" ht="15" hidden="false" customHeight="false" outlineLevel="0" collapsed="false">
      <c r="A72" s="46"/>
      <c r="B72" s="47"/>
      <c r="C72" s="48"/>
      <c r="D72" s="69" t="n">
        <f aca="false">IFERROR(D71+C72,D71)</f>
        <v>200</v>
      </c>
      <c r="E72" s="47"/>
    </row>
    <row r="73" customFormat="false" ht="15" hidden="false" customHeight="false" outlineLevel="0" collapsed="false">
      <c r="A73" s="50"/>
      <c r="B73" s="51"/>
      <c r="C73" s="52"/>
      <c r="D73" s="68" t="n">
        <f aca="false">IFERROR(D72+C73,D72)</f>
        <v>200</v>
      </c>
      <c r="E73" s="51"/>
    </row>
    <row r="74" customFormat="false" ht="15" hidden="false" customHeight="false" outlineLevel="0" collapsed="false">
      <c r="A74" s="46"/>
      <c r="B74" s="47"/>
      <c r="C74" s="48"/>
      <c r="D74" s="69" t="n">
        <f aca="false">IFERROR(D73+C74,D73)</f>
        <v>200</v>
      </c>
      <c r="E74" s="47"/>
    </row>
    <row r="75" customFormat="false" ht="15" hidden="false" customHeight="false" outlineLevel="0" collapsed="false">
      <c r="A75" s="50"/>
      <c r="B75" s="51"/>
      <c r="C75" s="52"/>
      <c r="D75" s="68" t="n">
        <f aca="false">IFERROR(D74+C75,D74)</f>
        <v>200</v>
      </c>
      <c r="E75" s="51"/>
    </row>
    <row r="76" customFormat="false" ht="15" hidden="false" customHeight="false" outlineLevel="0" collapsed="false">
      <c r="A76" s="46"/>
      <c r="B76" s="47"/>
      <c r="C76" s="48"/>
      <c r="D76" s="69" t="n">
        <f aca="false">IFERROR(D75+C76,D75)</f>
        <v>200</v>
      </c>
      <c r="E76" s="47"/>
    </row>
    <row r="77" customFormat="false" ht="15" hidden="false" customHeight="false" outlineLevel="0" collapsed="false">
      <c r="A77" s="50"/>
      <c r="B77" s="51"/>
      <c r="C77" s="52"/>
      <c r="D77" s="68" t="n">
        <f aca="false">IFERROR(D76+C77,D76)</f>
        <v>200</v>
      </c>
      <c r="E77" s="51"/>
    </row>
    <row r="78" customFormat="false" ht="15" hidden="false" customHeight="false" outlineLevel="0" collapsed="false">
      <c r="A78" s="46"/>
      <c r="B78" s="47"/>
      <c r="C78" s="48"/>
      <c r="D78" s="69" t="n">
        <f aca="false">IFERROR(D77+C78,D77)</f>
        <v>200</v>
      </c>
      <c r="E78" s="47"/>
    </row>
    <row r="79" customFormat="false" ht="15" hidden="false" customHeight="false" outlineLevel="0" collapsed="false">
      <c r="A79" s="50"/>
      <c r="B79" s="51"/>
      <c r="C79" s="52"/>
      <c r="D79" s="68" t="n">
        <f aca="false">IFERROR(D78+C79,D78)</f>
        <v>200</v>
      </c>
      <c r="E79" s="51"/>
    </row>
    <row r="80" customFormat="false" ht="15" hidden="false" customHeight="false" outlineLevel="0" collapsed="false">
      <c r="A80" s="46"/>
      <c r="B80" s="47"/>
      <c r="C80" s="48"/>
      <c r="D80" s="69" t="n">
        <f aca="false">IFERROR(D79+C80,D79)</f>
        <v>200</v>
      </c>
      <c r="E80" s="47"/>
    </row>
    <row r="81" customFormat="false" ht="15" hidden="false" customHeight="false" outlineLevel="0" collapsed="false">
      <c r="A81" s="50"/>
      <c r="B81" s="51"/>
      <c r="C81" s="52"/>
      <c r="D81" s="68" t="n">
        <f aca="false">IFERROR(D80+C81,D80)</f>
        <v>200</v>
      </c>
      <c r="E81" s="51"/>
    </row>
    <row r="82" customFormat="false" ht="15" hidden="false" customHeight="false" outlineLevel="0" collapsed="false">
      <c r="A82" s="46"/>
      <c r="B82" s="47"/>
      <c r="C82" s="48"/>
      <c r="D82" s="69" t="n">
        <f aca="false">IFERROR(D81+C82,D81)</f>
        <v>200</v>
      </c>
      <c r="E82" s="47"/>
    </row>
    <row r="83" customFormat="false" ht="15" hidden="false" customHeight="false" outlineLevel="0" collapsed="false">
      <c r="A83" s="50"/>
      <c r="B83" s="51"/>
      <c r="C83" s="52"/>
      <c r="D83" s="68" t="n">
        <f aca="false">IFERROR(D82+C83,D82)</f>
        <v>200</v>
      </c>
      <c r="E83" s="51"/>
    </row>
    <row r="84" customFormat="false" ht="15" hidden="false" customHeight="false" outlineLevel="0" collapsed="false">
      <c r="A84" s="46"/>
      <c r="B84" s="47"/>
      <c r="C84" s="48"/>
      <c r="D84" s="69" t="n">
        <f aca="false">IFERROR(D83+C84,D83)</f>
        <v>200</v>
      </c>
      <c r="E84" s="47"/>
    </row>
    <row r="85" customFormat="false" ht="15" hidden="false" customHeight="false" outlineLevel="0" collapsed="false">
      <c r="A85" s="50"/>
      <c r="B85" s="51"/>
      <c r="C85" s="52"/>
      <c r="D85" s="68" t="n">
        <f aca="false">IFERROR(D84+C85,D84)</f>
        <v>200</v>
      </c>
      <c r="E85" s="51"/>
    </row>
    <row r="86" customFormat="false" ht="15" hidden="false" customHeight="false" outlineLevel="0" collapsed="false">
      <c r="A86" s="46"/>
      <c r="B86" s="47"/>
      <c r="C86" s="48"/>
      <c r="D86" s="69" t="n">
        <f aca="false">IFERROR(D85+C86,D85)</f>
        <v>200</v>
      </c>
      <c r="E86" s="47"/>
    </row>
    <row r="87" customFormat="false" ht="15" hidden="false" customHeight="false" outlineLevel="0" collapsed="false">
      <c r="A87" s="50"/>
      <c r="B87" s="51"/>
      <c r="C87" s="52"/>
      <c r="D87" s="68" t="n">
        <f aca="false">IFERROR(D86+C87,D86)</f>
        <v>200</v>
      </c>
      <c r="E87" s="51"/>
    </row>
    <row r="88" customFormat="false" ht="15" hidden="false" customHeight="false" outlineLevel="0" collapsed="false">
      <c r="A88" s="46"/>
      <c r="B88" s="47"/>
      <c r="C88" s="48"/>
      <c r="D88" s="69" t="n">
        <f aca="false">IFERROR(D87+C88,D87)</f>
        <v>200</v>
      </c>
      <c r="E88" s="47"/>
    </row>
    <row r="89" customFormat="false" ht="15" hidden="false" customHeight="false" outlineLevel="0" collapsed="false">
      <c r="A89" s="50"/>
      <c r="B89" s="51"/>
      <c r="C89" s="52"/>
      <c r="D89" s="68" t="n">
        <f aca="false">IFERROR(D88+C89,D88)</f>
        <v>200</v>
      </c>
      <c r="E89" s="51"/>
    </row>
    <row r="90" customFormat="false" ht="15" hidden="false" customHeight="false" outlineLevel="0" collapsed="false">
      <c r="A90" s="46"/>
      <c r="B90" s="47"/>
      <c r="C90" s="48"/>
      <c r="D90" s="69" t="n">
        <f aca="false">IFERROR(D89+C90,D89)</f>
        <v>200</v>
      </c>
      <c r="E90" s="47"/>
    </row>
    <row r="91" customFormat="false" ht="15" hidden="false" customHeight="false" outlineLevel="0" collapsed="false">
      <c r="A91" s="50"/>
      <c r="B91" s="51"/>
      <c r="C91" s="52"/>
      <c r="D91" s="68" t="n">
        <f aca="false">IFERROR(D90+C91,D90)</f>
        <v>200</v>
      </c>
      <c r="E91" s="51"/>
    </row>
    <row r="92" customFormat="false" ht="15" hidden="false" customHeight="false" outlineLevel="0" collapsed="false">
      <c r="A92" s="46"/>
      <c r="B92" s="47"/>
      <c r="C92" s="48"/>
      <c r="D92" s="69" t="n">
        <f aca="false">IFERROR(D91+C92,D91)</f>
        <v>200</v>
      </c>
      <c r="E92" s="47"/>
    </row>
    <row r="93" customFormat="false" ht="15" hidden="false" customHeight="false" outlineLevel="0" collapsed="false">
      <c r="A93" s="50"/>
      <c r="B93" s="51"/>
      <c r="C93" s="52"/>
      <c r="D93" s="68" t="n">
        <f aca="false">IFERROR(D92+C93,D92)</f>
        <v>200</v>
      </c>
      <c r="E93" s="51"/>
    </row>
    <row r="94" customFormat="false" ht="15" hidden="false" customHeight="false" outlineLevel="0" collapsed="false">
      <c r="A94" s="46"/>
      <c r="B94" s="47"/>
      <c r="C94" s="48"/>
      <c r="D94" s="69" t="n">
        <f aca="false">IFERROR(D93+C94,D93)</f>
        <v>200</v>
      </c>
      <c r="E94" s="47"/>
    </row>
    <row r="95" customFormat="false" ht="15" hidden="false" customHeight="false" outlineLevel="0" collapsed="false">
      <c r="A95" s="50"/>
      <c r="B95" s="51"/>
      <c r="C95" s="52"/>
      <c r="D95" s="68" t="n">
        <f aca="false">IFERROR(D94+C95,D94)</f>
        <v>200</v>
      </c>
      <c r="E95" s="51"/>
    </row>
    <row r="96" customFormat="false" ht="15" hidden="false" customHeight="false" outlineLevel="0" collapsed="false">
      <c r="A96" s="46"/>
      <c r="B96" s="47"/>
      <c r="C96" s="48"/>
      <c r="D96" s="69" t="n">
        <f aca="false">IFERROR(D95+C96,D95)</f>
        <v>200</v>
      </c>
      <c r="E96" s="47"/>
    </row>
    <row r="97" customFormat="false" ht="15" hidden="false" customHeight="false" outlineLevel="0" collapsed="false">
      <c r="A97" s="50"/>
      <c r="B97" s="51"/>
      <c r="C97" s="52"/>
      <c r="D97" s="68" t="n">
        <f aca="false">IFERROR(D96+C97,D96)</f>
        <v>200</v>
      </c>
      <c r="E97" s="51"/>
    </row>
    <row r="98" customFormat="false" ht="15" hidden="false" customHeight="false" outlineLevel="0" collapsed="false">
      <c r="A98" s="46"/>
      <c r="B98" s="47"/>
      <c r="C98" s="48"/>
      <c r="D98" s="69" t="n">
        <f aca="false">IFERROR(D97+C98,D97)</f>
        <v>200</v>
      </c>
      <c r="E98" s="47"/>
    </row>
    <row r="99" customFormat="false" ht="15" hidden="false" customHeight="false" outlineLevel="0" collapsed="false">
      <c r="A99" s="50"/>
      <c r="B99" s="51"/>
      <c r="C99" s="52"/>
      <c r="D99" s="68" t="n">
        <f aca="false">IFERROR(D98+C99,D98)</f>
        <v>200</v>
      </c>
      <c r="E99" s="51"/>
    </row>
    <row r="100" customFormat="false" ht="15" hidden="false" customHeight="false" outlineLevel="0" collapsed="false">
      <c r="A100" s="46"/>
      <c r="B100" s="47"/>
      <c r="C100" s="48"/>
      <c r="D100" s="69" t="n">
        <f aca="false">IFERROR(D99+C100,D99)</f>
        <v>200</v>
      </c>
      <c r="E100" s="47"/>
    </row>
    <row r="101" customFormat="false" ht="15" hidden="false" customHeight="false" outlineLevel="0" collapsed="false">
      <c r="A101" s="50"/>
      <c r="B101" s="51"/>
      <c r="C101" s="52"/>
      <c r="D101" s="68" t="n">
        <f aca="false">IFERROR(D100+C101,D100)</f>
        <v>200</v>
      </c>
      <c r="E101" s="51"/>
    </row>
    <row r="102" customFormat="false" ht="15" hidden="false" customHeight="false" outlineLevel="0" collapsed="false">
      <c r="A102" s="46"/>
      <c r="B102" s="47"/>
      <c r="C102" s="48"/>
      <c r="D102" s="69" t="n">
        <f aca="false">IFERROR(D101+C102,D101)</f>
        <v>200</v>
      </c>
      <c r="E102" s="47"/>
    </row>
    <row r="103" customFormat="false" ht="15" hidden="false" customHeight="false" outlineLevel="0" collapsed="false">
      <c r="A103" s="50"/>
      <c r="B103" s="51"/>
      <c r="C103" s="52"/>
      <c r="D103" s="68" t="n">
        <f aca="false">IFERROR(D102+C103,D102)</f>
        <v>200</v>
      </c>
      <c r="E103" s="51"/>
    </row>
    <row r="104" customFormat="false" ht="15" hidden="false" customHeight="false" outlineLevel="0" collapsed="false">
      <c r="A104" s="46"/>
      <c r="B104" s="47"/>
      <c r="C104" s="48"/>
      <c r="D104" s="69" t="n">
        <f aca="false">IFERROR(D103+C104,D103)</f>
        <v>200</v>
      </c>
      <c r="E104" s="47"/>
    </row>
    <row r="105" customFormat="false" ht="15" hidden="false" customHeight="false" outlineLevel="0" collapsed="false">
      <c r="A105" s="50"/>
      <c r="B105" s="51"/>
      <c r="C105" s="52"/>
      <c r="D105" s="68" t="n">
        <f aca="false">IFERROR(D104+C105,D104)</f>
        <v>200</v>
      </c>
      <c r="E105" s="51"/>
    </row>
    <row r="106" customFormat="false" ht="15" hidden="false" customHeight="false" outlineLevel="0" collapsed="false">
      <c r="A106" s="46"/>
      <c r="B106" s="47"/>
      <c r="C106" s="48"/>
      <c r="D106" s="69" t="n">
        <f aca="false">IFERROR(D105+C106,D105)</f>
        <v>200</v>
      </c>
      <c r="E106" s="47"/>
    </row>
    <row r="107" customFormat="false" ht="15" hidden="false" customHeight="false" outlineLevel="0" collapsed="false">
      <c r="A107" s="50"/>
      <c r="B107" s="51"/>
      <c r="C107" s="52"/>
      <c r="D107" s="68" t="n">
        <f aca="false">IFERROR(D106+C107,D106)</f>
        <v>200</v>
      </c>
      <c r="E107" s="51"/>
    </row>
    <row r="108" customFormat="false" ht="15" hidden="false" customHeight="false" outlineLevel="0" collapsed="false">
      <c r="A108" s="46"/>
      <c r="B108" s="47"/>
      <c r="C108" s="48"/>
      <c r="D108" s="69" t="n">
        <f aca="false">IFERROR(D107+C108,D107)</f>
        <v>200</v>
      </c>
      <c r="E108" s="47"/>
    </row>
    <row r="109" customFormat="false" ht="15" hidden="false" customHeight="false" outlineLevel="0" collapsed="false">
      <c r="A109" s="50"/>
      <c r="B109" s="51"/>
      <c r="C109" s="52"/>
      <c r="D109" s="68" t="n">
        <f aca="false">IFERROR(D108+C109,D108)</f>
        <v>200</v>
      </c>
      <c r="E109" s="51"/>
    </row>
    <row r="110" customFormat="false" ht="15" hidden="false" customHeight="false" outlineLevel="0" collapsed="false">
      <c r="A110" s="46"/>
      <c r="B110" s="47"/>
      <c r="C110" s="48"/>
      <c r="D110" s="69" t="n">
        <f aca="false">IFERROR(D109+C110,D109)</f>
        <v>200</v>
      </c>
      <c r="E110" s="47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3" min="2" style="0" width="14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35" t="s">
        <v>121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customFormat="false" ht="15" hidden="false" customHeight="false" outlineLevel="0" collapsed="false">
      <c r="A2" s="70" t="s">
        <v>122</v>
      </c>
      <c r="B2" s="70" t="s">
        <v>123</v>
      </c>
      <c r="C2" s="70" t="s">
        <v>124</v>
      </c>
      <c r="D2" s="70" t="s">
        <v>125</v>
      </c>
      <c r="E2" s="70" t="s">
        <v>126</v>
      </c>
      <c r="F2" s="70" t="s">
        <v>127</v>
      </c>
      <c r="G2" s="70" t="s">
        <v>128</v>
      </c>
      <c r="H2" s="70" t="s">
        <v>129</v>
      </c>
      <c r="I2" s="70" t="s">
        <v>130</v>
      </c>
      <c r="J2" s="70" t="s">
        <v>131</v>
      </c>
      <c r="K2" s="70" t="s">
        <v>132</v>
      </c>
      <c r="L2" s="70" t="s">
        <v>133</v>
      </c>
      <c r="M2" s="70" t="s">
        <v>134</v>
      </c>
      <c r="N2" s="71" t="s">
        <v>135</v>
      </c>
    </row>
    <row r="3" customFormat="false" ht="15" hidden="false" customHeight="false" outlineLevel="0" collapsed="false">
      <c r="A3" s="72" t="s">
        <v>136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</row>
    <row r="4" customFormat="false" ht="15" hidden="false" customHeight="false" outlineLevel="0" collapsed="false">
      <c r="A4" s="73" t="s">
        <v>137</v>
      </c>
      <c r="B4" s="74" t="n">
        <f aca="false">IFERROR(SUMPRODUCT((MONTH('📥 Income Log'!A:A)=1)*(YEAR('📥 Income Log'!A:A)='📊 Dashboard'!B5)*'📥 Income Log'!D:D),0)</f>
        <v>0</v>
      </c>
      <c r="C4" s="74" t="n">
        <f aca="false">IFERROR(SUMPRODUCT((MONTH('📥 Income Log'!A:A)=2)*(YEAR('📥 Income Log'!A:A)='📊 Dashboard'!B5)*'📥 Income Log'!D:D),0)</f>
        <v>0</v>
      </c>
      <c r="D4" s="74" t="n">
        <f aca="false">IFERROR(SUMPRODUCT((MONTH('📥 Income Log'!A:A)=3)*(YEAR('📥 Income Log'!A:A)='📊 Dashboard'!B5)*'📥 Income Log'!D:D),0)</f>
        <v>0</v>
      </c>
      <c r="E4" s="74" t="n">
        <f aca="false">IFERROR(SUMPRODUCT((MONTH('📥 Income Log'!A:A)=4)*(YEAR('📥 Income Log'!A:A)='📊 Dashboard'!B5)*'📥 Income Log'!D:D),0)</f>
        <v>0</v>
      </c>
      <c r="F4" s="74" t="n">
        <f aca="false">IFERROR(SUMPRODUCT((MONTH('📥 Income Log'!A:A)=5)*(YEAR('📥 Income Log'!A:A)='📊 Dashboard'!B5)*'📥 Income Log'!D:D),0)</f>
        <v>0</v>
      </c>
      <c r="G4" s="74" t="n">
        <f aca="false">IFERROR(SUMPRODUCT((MONTH('📥 Income Log'!A:A)=6)*(YEAR('📥 Income Log'!A:A)='📊 Dashboard'!B5)*'📥 Income Log'!D:D),0)</f>
        <v>0</v>
      </c>
      <c r="H4" s="74" t="n">
        <f aca="false">IFERROR(SUMPRODUCT((MONTH('📥 Income Log'!A:A)=7)*(YEAR('📥 Income Log'!A:A)='📊 Dashboard'!B5)*'📥 Income Log'!D:D),0)</f>
        <v>0</v>
      </c>
      <c r="I4" s="74" t="n">
        <f aca="false">IFERROR(SUMPRODUCT((MONTH('📥 Income Log'!A:A)=8)*(YEAR('📥 Income Log'!A:A)='📊 Dashboard'!B5)*'📥 Income Log'!D:D),0)</f>
        <v>0</v>
      </c>
      <c r="J4" s="74" t="n">
        <f aca="false">IFERROR(SUMPRODUCT((MONTH('📥 Income Log'!A:A)=9)*(YEAR('📥 Income Log'!A:A)='📊 Dashboard'!B5)*'📥 Income Log'!D:D),0)</f>
        <v>0</v>
      </c>
      <c r="K4" s="74" t="n">
        <f aca="false">IFERROR(SUMPRODUCT((MONTH('📥 Income Log'!A:A)=10)*(YEAR('📥 Income Log'!A:A)='📊 Dashboard'!B5)*'📥 Income Log'!D:D),0)</f>
        <v>0</v>
      </c>
      <c r="L4" s="74" t="n">
        <f aca="false">IFERROR(SUMPRODUCT((MONTH('📥 Income Log'!A:A)=11)*(YEAR('📥 Income Log'!A:A)='📊 Dashboard'!B5)*'📥 Income Log'!D:D),0)</f>
        <v>0</v>
      </c>
      <c r="M4" s="74" t="n">
        <f aca="false">IFERROR(SUMPRODUCT((MONTH('📥 Income Log'!A:A)=12)*(YEAR('📥 Income Log'!A:A)='📊 Dashboard'!B5)*'📥 Income Log'!D:D),0)</f>
        <v>0</v>
      </c>
      <c r="N4" s="75" t="n">
        <f aca="false">SUM(B4:M4)</f>
        <v>0</v>
      </c>
    </row>
    <row r="5" customFormat="false" ht="15" hidden="false" customHeight="false" outlineLevel="0" collapsed="false">
      <c r="A5" s="73"/>
    </row>
    <row r="6" customFormat="false" ht="15" hidden="false" customHeight="false" outlineLevel="0" collapsed="false">
      <c r="A6" s="72" t="s">
        <v>138</v>
      </c>
      <c r="B6" s="72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</row>
    <row r="7" customFormat="false" ht="15" hidden="false" customHeight="false" outlineLevel="0" collapsed="false">
      <c r="A7" s="73" t="s">
        <v>139</v>
      </c>
      <c r="B7" s="68" t="n">
        <f aca="false">B4*'📊 Dashboard'!F5</f>
        <v>0</v>
      </c>
      <c r="C7" s="68" t="n">
        <f aca="false">C4*'📊 Dashboard'!F5</f>
        <v>0</v>
      </c>
      <c r="D7" s="68" t="n">
        <f aca="false">D4*'📊 Dashboard'!F5</f>
        <v>0</v>
      </c>
      <c r="E7" s="68" t="n">
        <f aca="false">E4*'📊 Dashboard'!F5</f>
        <v>0</v>
      </c>
      <c r="F7" s="68" t="n">
        <f aca="false">F4*'📊 Dashboard'!F5</f>
        <v>0</v>
      </c>
      <c r="G7" s="68" t="n">
        <f aca="false">G4*'📊 Dashboard'!F5</f>
        <v>0</v>
      </c>
      <c r="H7" s="68" t="n">
        <f aca="false">H4*'📊 Dashboard'!F5</f>
        <v>0</v>
      </c>
      <c r="I7" s="68" t="n">
        <f aca="false">I4*'📊 Dashboard'!F5</f>
        <v>0</v>
      </c>
      <c r="J7" s="68" t="n">
        <f aca="false">J4*'📊 Dashboard'!F5</f>
        <v>0</v>
      </c>
      <c r="K7" s="68" t="n">
        <f aca="false">K4*'📊 Dashboard'!F5</f>
        <v>0</v>
      </c>
      <c r="L7" s="68" t="n">
        <f aca="false">L4*'📊 Dashboard'!F5</f>
        <v>0</v>
      </c>
      <c r="M7" s="68" t="n">
        <f aca="false">M4*'📊 Dashboard'!F5</f>
        <v>0</v>
      </c>
      <c r="N7" s="75" t="n">
        <f aca="false">SUM(B7:M7)</f>
        <v>0</v>
      </c>
    </row>
    <row r="8" customFormat="false" ht="15" hidden="false" customHeight="false" outlineLevel="0" collapsed="false">
      <c r="A8" s="73" t="s">
        <v>140</v>
      </c>
      <c r="B8" s="74" t="n">
        <f aca="false">IFERROR(SUMPRODUCT((MONTH('💸 Expense Log'!A:A)=1)*(YEAR('💸 Expense Log'!A:A)='📊 Dashboard'!B5)*'💸 Expense Log'!D:D),0)</f>
        <v>0</v>
      </c>
      <c r="C8" s="74" t="n">
        <f aca="false">IFERROR(SUMPRODUCT((MONTH('💸 Expense Log'!A:A)=2)*(YEAR('💸 Expense Log'!A:A)='📊 Dashboard'!B5)*'💸 Expense Log'!D:D),0)</f>
        <v>0</v>
      </c>
      <c r="D8" s="74" t="n">
        <f aca="false">IFERROR(SUMPRODUCT((MONTH('💸 Expense Log'!A:A)=3)*(YEAR('💸 Expense Log'!A:A)='📊 Dashboard'!B5)*'💸 Expense Log'!D:D),0)</f>
        <v>0</v>
      </c>
      <c r="E8" s="74" t="n">
        <f aca="false">IFERROR(SUMPRODUCT((MONTH('💸 Expense Log'!A:A)=4)*(YEAR('💸 Expense Log'!A:A)='📊 Dashboard'!B5)*'💸 Expense Log'!D:D),0)</f>
        <v>0</v>
      </c>
      <c r="F8" s="74" t="n">
        <f aca="false">IFERROR(SUMPRODUCT((MONTH('💸 Expense Log'!A:A)=5)*(YEAR('💸 Expense Log'!A:A)='📊 Dashboard'!B5)*'💸 Expense Log'!D:D),0)</f>
        <v>0</v>
      </c>
      <c r="G8" s="74" t="n">
        <f aca="false">IFERROR(SUMPRODUCT((MONTH('💸 Expense Log'!A:A)=6)*(YEAR('💸 Expense Log'!A:A)='📊 Dashboard'!B5)*'💸 Expense Log'!D:D),0)</f>
        <v>0</v>
      </c>
      <c r="H8" s="74" t="n">
        <f aca="false">IFERROR(SUMPRODUCT((MONTH('💸 Expense Log'!A:A)=7)*(YEAR('💸 Expense Log'!A:A)='📊 Dashboard'!B5)*'💸 Expense Log'!D:D),0)</f>
        <v>0</v>
      </c>
      <c r="I8" s="74" t="n">
        <f aca="false">IFERROR(SUMPRODUCT((MONTH('💸 Expense Log'!A:A)=8)*(YEAR('💸 Expense Log'!A:A)='📊 Dashboard'!B5)*'💸 Expense Log'!D:D),0)</f>
        <v>0</v>
      </c>
      <c r="J8" s="74" t="n">
        <f aca="false">IFERROR(SUMPRODUCT((MONTH('💸 Expense Log'!A:A)=9)*(YEAR('💸 Expense Log'!A:A)='📊 Dashboard'!B5)*'💸 Expense Log'!D:D),0)</f>
        <v>0</v>
      </c>
      <c r="K8" s="74" t="n">
        <f aca="false">IFERROR(SUMPRODUCT((MONTH('💸 Expense Log'!A:A)=10)*(YEAR('💸 Expense Log'!A:A)='📊 Dashboard'!B5)*'💸 Expense Log'!D:D),0)</f>
        <v>0</v>
      </c>
      <c r="L8" s="74" t="n">
        <f aca="false">IFERROR(SUMPRODUCT((MONTH('💸 Expense Log'!A:A)=11)*(YEAR('💸 Expense Log'!A:A)='📊 Dashboard'!B5)*'💸 Expense Log'!D:D),0)</f>
        <v>0</v>
      </c>
      <c r="M8" s="74" t="n">
        <f aca="false">IFERROR(SUMPRODUCT((MONTH('💸 Expense Log'!A:A)=12)*(YEAR('💸 Expense Log'!A:A)='📊 Dashboard'!B5)*'💸 Expense Log'!D:D),0)</f>
        <v>0</v>
      </c>
      <c r="N8" s="75" t="n">
        <f aca="false">SUM(B8:M8)</f>
        <v>0</v>
      </c>
    </row>
    <row r="9" customFormat="false" ht="15" hidden="false" customHeight="false" outlineLevel="0" collapsed="false">
      <c r="A9" s="73" t="s">
        <v>141</v>
      </c>
      <c r="B9" s="68" t="n">
        <f aca="false">(B4-B6-B7)*'📊 Dashboard'!H5</f>
        <v>0</v>
      </c>
      <c r="C9" s="68" t="n">
        <f aca="false">(C4-C6-C7)*'📊 Dashboard'!H5</f>
        <v>0</v>
      </c>
      <c r="D9" s="68" t="n">
        <f aca="false">(D4-D6-D7)*'📊 Dashboard'!H5</f>
        <v>0</v>
      </c>
      <c r="E9" s="68" t="n">
        <f aca="false">(E4-E6-E7)*'📊 Dashboard'!H5</f>
        <v>0</v>
      </c>
      <c r="F9" s="68" t="n">
        <f aca="false">(F4-F6-F7)*'📊 Dashboard'!H5</f>
        <v>0</v>
      </c>
      <c r="G9" s="68" t="n">
        <f aca="false">(G4-G6-G7)*'📊 Dashboard'!H5</f>
        <v>0</v>
      </c>
      <c r="H9" s="68" t="n">
        <f aca="false">(H4-H6-H7)*'📊 Dashboard'!H5</f>
        <v>0</v>
      </c>
      <c r="I9" s="68" t="n">
        <f aca="false">(I4-I6-I7)*'📊 Dashboard'!H5</f>
        <v>0</v>
      </c>
      <c r="J9" s="68" t="n">
        <f aca="false">(J4-J6-J7)*'📊 Dashboard'!H5</f>
        <v>0</v>
      </c>
      <c r="K9" s="68" t="n">
        <f aca="false">(K4-K6-K7)*'📊 Dashboard'!H5</f>
        <v>0</v>
      </c>
      <c r="L9" s="68" t="n">
        <f aca="false">(L4-L6-L7)*'📊 Dashboard'!H5</f>
        <v>0</v>
      </c>
      <c r="M9" s="68" t="n">
        <f aca="false">(M4-M6-M7)*'📊 Dashboard'!H5</f>
        <v>0</v>
      </c>
      <c r="N9" s="75" t="n">
        <f aca="false">SUM(B9:M9)</f>
        <v>0</v>
      </c>
    </row>
    <row r="10" customFormat="false" ht="15" hidden="false" customHeight="false" outlineLevel="0" collapsed="false">
      <c r="A10" s="73"/>
    </row>
    <row r="11" customFormat="false" ht="15" hidden="false" customHeight="false" outlineLevel="0" collapsed="false">
      <c r="A11" s="72" t="s">
        <v>142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</row>
    <row r="12" customFormat="false" ht="15" hidden="false" customHeight="false" outlineLevel="0" collapsed="false">
      <c r="A12" s="73" t="s">
        <v>143</v>
      </c>
      <c r="B12" s="69" t="n">
        <f aca="false">B4-B6-B7-B8</f>
        <v>0</v>
      </c>
      <c r="C12" s="69" t="n">
        <f aca="false">C4-C6-C7-C8</f>
        <v>0</v>
      </c>
      <c r="D12" s="69" t="n">
        <f aca="false">D4-D6-D7-D8</f>
        <v>0</v>
      </c>
      <c r="E12" s="69" t="n">
        <f aca="false">E4-E6-E7-E8</f>
        <v>0</v>
      </c>
      <c r="F12" s="69" t="n">
        <f aca="false">F4-F6-F7-F8</f>
        <v>0</v>
      </c>
      <c r="G12" s="69" t="n">
        <f aca="false">G4-G6-G7-G8</f>
        <v>0</v>
      </c>
      <c r="H12" s="69" t="n">
        <f aca="false">H4-H6-H7-H8</f>
        <v>0</v>
      </c>
      <c r="I12" s="69" t="n">
        <f aca="false">I4-I6-I7-I8</f>
        <v>0</v>
      </c>
      <c r="J12" s="69" t="n">
        <f aca="false">J4-J6-J7-J8</f>
        <v>0</v>
      </c>
      <c r="K12" s="69" t="n">
        <f aca="false">K4-K6-K7-K8</f>
        <v>0</v>
      </c>
      <c r="L12" s="69" t="n">
        <f aca="false">L4-L6-L7-L8</f>
        <v>0</v>
      </c>
      <c r="M12" s="69" t="n">
        <f aca="false">M4-M6-M7-M8</f>
        <v>0</v>
      </c>
      <c r="N12" s="76" t="n">
        <f aca="false">SUM(B12:M12)</f>
        <v>0</v>
      </c>
    </row>
    <row r="13" customFormat="false" ht="15" hidden="false" customHeight="false" outlineLevel="0" collapsed="false">
      <c r="A13" s="73" t="s">
        <v>144</v>
      </c>
      <c r="B13" s="77" t="n">
        <f aca="false">IFERROR(B11/B4,0)</f>
        <v>0</v>
      </c>
      <c r="C13" s="77" t="n">
        <f aca="false">IFERROR(C11/C4,0)</f>
        <v>0</v>
      </c>
      <c r="D13" s="77" t="n">
        <f aca="false">IFERROR(D11/D4,0)</f>
        <v>0</v>
      </c>
      <c r="E13" s="77" t="n">
        <f aca="false">IFERROR(E11/E4,0)</f>
        <v>0</v>
      </c>
      <c r="F13" s="77" t="n">
        <f aca="false">IFERROR(F11/F4,0)</f>
        <v>0</v>
      </c>
      <c r="G13" s="77" t="n">
        <f aca="false">IFERROR(G11/G4,0)</f>
        <v>0</v>
      </c>
      <c r="H13" s="77" t="n">
        <f aca="false">IFERROR(H11/H4,0)</f>
        <v>0</v>
      </c>
      <c r="I13" s="77" t="n">
        <f aca="false">IFERROR(I11/I4,0)</f>
        <v>0</v>
      </c>
      <c r="J13" s="77" t="n">
        <f aca="false">IFERROR(J11/J4,0)</f>
        <v>0</v>
      </c>
      <c r="K13" s="77" t="n">
        <f aca="false">IFERROR(K11/K4,0)</f>
        <v>0</v>
      </c>
      <c r="L13" s="77" t="n">
        <f aca="false">IFERROR(L11/L4,0)</f>
        <v>0</v>
      </c>
      <c r="M13" s="77" t="n">
        <f aca="false">IFERROR(M11/M4,0)</f>
        <v>0</v>
      </c>
      <c r="N13" s="78" t="n">
        <f aca="false">SUM(B13:M13)</f>
        <v>0</v>
      </c>
    </row>
    <row r="14" customFormat="false" ht="15" hidden="false" customHeight="false" outlineLevel="0" collapsed="false">
      <c r="A14" s="73" t="s">
        <v>145</v>
      </c>
      <c r="B14" s="69" t="n">
        <f aca="false">B4</f>
        <v>0</v>
      </c>
      <c r="C14" s="69" t="n">
        <f aca="false">B14+C4</f>
        <v>0</v>
      </c>
      <c r="D14" s="69" t="n">
        <f aca="false">C14+D4</f>
        <v>0</v>
      </c>
      <c r="E14" s="69" t="n">
        <f aca="false">D14+E4</f>
        <v>0</v>
      </c>
      <c r="F14" s="69" t="n">
        <f aca="false">E14+F4</f>
        <v>0</v>
      </c>
      <c r="G14" s="69" t="n">
        <f aca="false">F14+G4</f>
        <v>0</v>
      </c>
      <c r="H14" s="69" t="n">
        <f aca="false">G14+H4</f>
        <v>0</v>
      </c>
      <c r="I14" s="69" t="n">
        <f aca="false">H14+I4</f>
        <v>0</v>
      </c>
      <c r="J14" s="69" t="n">
        <f aca="false">I14+J4</f>
        <v>0</v>
      </c>
      <c r="K14" s="69" t="n">
        <f aca="false">J14+K4</f>
        <v>0</v>
      </c>
      <c r="L14" s="69" t="n">
        <f aca="false">K14+L4</f>
        <v>0</v>
      </c>
      <c r="M14" s="69" t="n">
        <f aca="false">L14+M4</f>
        <v>0</v>
      </c>
      <c r="N14" s="75" t="n">
        <f aca="false">SUM(B14:M14)</f>
        <v>0</v>
      </c>
    </row>
  </sheetData>
  <mergeCells count="4">
    <mergeCell ref="A1:N1"/>
    <mergeCell ref="A3:N3"/>
    <mergeCell ref="A6:N6"/>
    <mergeCell ref="A11:N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2026-06-04T01:54:12Z</dcterms:created>
  <dc:creator>openpyxl</dc:creator>
  <dc:description/>
  <dc:language>en-US</dc:language>
  <cp:lastModifiedBy/>
  <dcterms:modified xsi:type="dcterms:W3CDTF">2026-06-04T01:54:12Z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